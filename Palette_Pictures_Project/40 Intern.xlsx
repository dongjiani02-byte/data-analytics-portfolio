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Sheet1!$A$1:$Z$51</definedName>
  </definedNames>
  <calcPr/>
</workbook>
</file>

<file path=xl/sharedStrings.xml><?xml version="1.0" encoding="utf-8"?>
<sst xmlns="http://schemas.openxmlformats.org/spreadsheetml/2006/main" count="729" uniqueCount="208">
  <si>
    <t>name</t>
  </si>
  <si>
    <t>gender(M/F)</t>
  </si>
  <si>
    <t>age(20,30,40,50,60)</t>
  </si>
  <si>
    <t>job title</t>
  </si>
  <si>
    <t>Role</t>
  </si>
  <si>
    <t>other role</t>
  </si>
  <si>
    <t>Num_Hosted</t>
  </si>
  <si>
    <t>Num_Attended</t>
  </si>
  <si>
    <t>Num_Together</t>
  </si>
  <si>
    <t>cineAI_event</t>
  </si>
  <si>
    <t>Stanford_Berkeley</t>
  </si>
  <si>
    <t>Followers</t>
  </si>
  <si>
    <t>approval_status</t>
  </si>
  <si>
    <t>come?</t>
  </si>
  <si>
    <t>amount</t>
  </si>
  <si>
    <t>amount_tax</t>
  </si>
  <si>
    <t>amount_discount</t>
  </si>
  <si>
    <t>coupon_code</t>
  </si>
  <si>
    <t>ticket_type</t>
  </si>
  <si>
    <t>Participation Priority</t>
  </si>
  <si>
    <t>Willingness to pay</t>
  </si>
  <si>
    <t>member of the CineAI Founders Hub?</t>
  </si>
  <si>
    <t>industry  or most interested in</t>
  </si>
  <si>
    <t>currently using or exploring AI for content creation or brand building?</t>
  </si>
  <si>
    <t>topics most interested in</t>
  </si>
  <si>
    <t>followup allowed?</t>
  </si>
  <si>
    <t>Alessandro migliara</t>
  </si>
  <si>
    <t>M</t>
  </si>
  <si>
    <t>Designer × Bio-tech &amp; Human self-expression</t>
  </si>
  <si>
    <t>Founder/Entrepreneur</t>
  </si>
  <si>
    <t>NA</t>
  </si>
  <si>
    <t>Berkeley</t>
  </si>
  <si>
    <t>approved</t>
  </si>
  <si>
    <t>CineAI Founders Hub</t>
  </si>
  <si>
    <t>yes</t>
  </si>
  <si>
    <t>Branding / Marketing</t>
  </si>
  <si>
    <t>Yes, I’m currently using it</t>
  </si>
  <si>
    <t>Creating short videos or promos with AI, AI story design and scriptwriting, Personalized brand content with AI, Collaborating with AI creative teams, Turning my brand or product into AI-powered video content</t>
  </si>
  <si>
    <t>Yes, I’m interested</t>
  </si>
  <si>
    <t>Ania Moniuszko</t>
  </si>
  <si>
    <t>F</t>
  </si>
  <si>
    <t xml:space="preserve">Founder, Agility Coach, Facilitator, Maker, Activist, Permaculture Designer, Systems Thinker, Manifesting Generator, </t>
  </si>
  <si>
    <t>Stanford</t>
  </si>
  <si>
    <t>CINEAI70</t>
  </si>
  <si>
    <t>Front Door</t>
  </si>
  <si>
    <t>no</t>
  </si>
  <si>
    <t>Tech / AI, Media / Film, Wellness / Lifestyle / Beauty</t>
  </si>
  <si>
    <t>Creating short videos or promos with AI, AI story design and scriptwriting, Personalized brand content with AI</t>
  </si>
  <si>
    <t>Benji Bear</t>
  </si>
  <si>
    <t>Staff Software Engineer at YouTube</t>
  </si>
  <si>
    <t>AI Creative/Developer</t>
  </si>
  <si>
    <t>JUSTIN30</t>
  </si>
  <si>
    <t>General Admission</t>
  </si>
  <si>
    <t>Tech / AI</t>
  </si>
  <si>
    <t>No plans for now</t>
  </si>
  <si>
    <t>Personalized brand content with AI, Collaborating with AI creative teams</t>
  </si>
  <si>
    <t>Not right now</t>
  </si>
  <si>
    <t>Bruno Lloret</t>
  </si>
  <si>
    <t>Software dev, writer and researcher</t>
  </si>
  <si>
    <t>Filmmaker/Writer/Content Creator</t>
  </si>
  <si>
    <t>Education / Training, Media / Film, Tech / AI</t>
  </si>
  <si>
    <t>I’m exploring and learning</t>
  </si>
  <si>
    <t>AI story design and scriptwriting, Collaborating with AI creative teams</t>
  </si>
  <si>
    <t>Carlos Ormachea</t>
  </si>
  <si>
    <t>Founder at Down Dog App</t>
  </si>
  <si>
    <t>Media / Film</t>
  </si>
  <si>
    <t>AI story design and scriptwriting, Creating short videos or promos with AI, Collaborating with AI creative teams</t>
  </si>
  <si>
    <t>Film/TV Actress, Writer, Director and Producer | AI Creator | Branding</t>
  </si>
  <si>
    <t>Standard</t>
  </si>
  <si>
    <t>Chris Michel</t>
  </si>
  <si>
    <t>Engineering Manager, Google Store</t>
  </si>
  <si>
    <t>FIONACHRVIP</t>
  </si>
  <si>
    <t>Early Bird</t>
  </si>
  <si>
    <t>Not yet, but I’m interested</t>
  </si>
  <si>
    <t>Creating short videos or promos with AI</t>
  </si>
  <si>
    <t>Depends on the context</t>
  </si>
  <si>
    <t>Gage Olesen</t>
  </si>
  <si>
    <t>--</t>
  </si>
  <si>
    <t>CINEAIVIP</t>
  </si>
  <si>
    <t>Collaborating with AI creative teams, AI story design and scriptwriting</t>
  </si>
  <si>
    <t>Gautham Mysore</t>
  </si>
  <si>
    <t>Head of Audio and Video AI Research at Adobe Research</t>
  </si>
  <si>
    <t>Other</t>
  </si>
  <si>
    <t>Head of Audio and Video AI Research</t>
  </si>
  <si>
    <t>Tech / AI, Media / Film</t>
  </si>
  <si>
    <t>Grace Turner</t>
  </si>
  <si>
    <t>Head of Talent @ Pallet | AI x Logistics — Hiring to automate the global supply chain!</t>
  </si>
  <si>
    <t>VP of HR</t>
  </si>
  <si>
    <t>AI story design and scriptwriting, Personalized brand content with AI, Collaborating with AI creative teams, Turning my brand or product into AI-powered video content, Creating short videos or promos with AI</t>
  </si>
  <si>
    <t>Chaddus Bruce-Wen</t>
  </si>
  <si>
    <t>Founder | Product Designer &amp; Engineer | Building tools to empower people to learn and connect through high-quality information</t>
  </si>
  <si>
    <t>Education / Training</t>
  </si>
  <si>
    <t>AI story design and scriptwriting, Collaborating with AI creative teams, Creating short videos or promos with AI</t>
  </si>
  <si>
    <t>Jason Nyeh</t>
  </si>
  <si>
    <t>CoFounder/ COO / Managing Director</t>
  </si>
  <si>
    <t>Investor</t>
  </si>
  <si>
    <t>CINEAI90</t>
  </si>
  <si>
    <t>Media / Film, Tech / AI, Branding / Marketing, Education / Training, Gaming / Interactive Entertainment, Wellness / Lifestyle / Beauty</t>
  </si>
  <si>
    <t>Jim McConihe</t>
  </si>
  <si>
    <t>Senior Technical Program Management | Team Leadership | AI Infrastructure Design | Enterprise AI Implementation | Cloud Architecture &amp; Migration | Infrastructure Modernization | Network Architecture | Budget</t>
  </si>
  <si>
    <t>Principal Tooling Architect</t>
  </si>
  <si>
    <t>AI story design and scriptwriting</t>
  </si>
  <si>
    <t>Justin Massengale</t>
  </si>
  <si>
    <t>Neurosurgeon at Beth Israel Deaconess Hospital-Plymouth</t>
  </si>
  <si>
    <t>Jonathan Villet</t>
  </si>
  <si>
    <t>Filmmaker/writer | President of OneWorld Communications</t>
  </si>
  <si>
    <t>Creating short videos or promos with AI, AI story design and scriptwriting</t>
  </si>
  <si>
    <t>Josephine Zhou</t>
  </si>
  <si>
    <t>I help mission-driven entrepreneurs and executives build a financial plan that creates freedom, stability, and peace of mind.</t>
  </si>
  <si>
    <t>AIFILM50</t>
  </si>
  <si>
    <t>Wellness / Lifestyle / Beauty, Branding / Marketing</t>
  </si>
  <si>
    <t>Joseph Yeh</t>
  </si>
  <si>
    <t>Executive &amp; Technical Recruiter for deep tech startups + alumni of LinkedIn, Magic Leap, Yahoo, Apex.AI, Lytro, Sunshine, Riviera Partners</t>
  </si>
  <si>
    <t>Personalized brand content with AI</t>
  </si>
  <si>
    <t>Justin Zhang</t>
  </si>
  <si>
    <t>ECE | Ex-Medical School | NVIDIA</t>
  </si>
  <si>
    <t>Kaina Lisibach</t>
  </si>
  <si>
    <t>Product Marketing Manager @ Google</t>
  </si>
  <si>
    <t>Brand Owner/Marketing Professional</t>
  </si>
  <si>
    <t>Kawika Tu</t>
  </si>
  <si>
    <t>Still figuring out Linkedin :)</t>
  </si>
  <si>
    <t>Kevin Kunze</t>
  </si>
  <si>
    <t>Directed &amp; Produced work for 49ers, Meta, Google, Intel, Levi's, YouTube, Stanford University, Air National Guard, and more.</t>
  </si>
  <si>
    <t>Media / Film, Tech / AI</t>
  </si>
  <si>
    <t>Creating short videos or promos with AI, Personalized brand content with AI, Collaborating with AI creative teams</t>
  </si>
  <si>
    <t>Khailey E</t>
  </si>
  <si>
    <t>Associate Manager of Marketplace Operations, Posh Authenticate at Poshmark</t>
  </si>
  <si>
    <t>Student/Freelancer</t>
  </si>
  <si>
    <t>Wellness / Lifestyle / Beauty</t>
  </si>
  <si>
    <t>Rainia</t>
  </si>
  <si>
    <t>B.S. in Advertising and B.S. in Film &amp; Television at Boston University M.S. Candidate in Leadership for Creative Enterprises at Northwestern University</t>
  </si>
  <si>
    <t>Media / Film, Branding / Marketing</t>
  </si>
  <si>
    <t>Creating short videos or promos with AI, Personalized brand content with AI</t>
  </si>
  <si>
    <t>Nirav Suchak</t>
  </si>
  <si>
    <t>West Coast General Manager - Technology PR</t>
  </si>
  <si>
    <t>Tech / AI, Branding / Marketing</t>
  </si>
  <si>
    <t>Personalized brand content with AI, Other</t>
  </si>
  <si>
    <t>Panya Chheng</t>
  </si>
  <si>
    <t>Entrepreneur</t>
  </si>
  <si>
    <t>Creating short videos or promos with AI, Collaborating with AI creative teams</t>
  </si>
  <si>
    <t>Phillip Chin</t>
  </si>
  <si>
    <t>at DOTBLU, INC. (TownHog)</t>
  </si>
  <si>
    <t>Piyush Patil</t>
  </si>
  <si>
    <t>Data Scientist</t>
  </si>
  <si>
    <t>Puja Patel</t>
  </si>
  <si>
    <t>Program Coordinator @ University of Toronto | M.Ed, CIM</t>
  </si>
  <si>
    <t>Yes, I’m interested, Not right now</t>
  </si>
  <si>
    <t>Qiushi Powers</t>
  </si>
  <si>
    <t>AI with taste. Cinematic content, made and shared by anyone.</t>
  </si>
  <si>
    <t>AI story design and scriptwriting, Creating short videos or promos with AI</t>
  </si>
  <si>
    <t>Jesse Babbitz</t>
  </si>
  <si>
    <t>Neurosurgeon at Mercy General Hospital</t>
  </si>
  <si>
    <t>Neuroscience / surgery</t>
  </si>
  <si>
    <t>Media / Film, Tech / AI, Branding / Marketing, Other</t>
  </si>
  <si>
    <t>Yes, I’m interested, Depends on the context</t>
  </si>
  <si>
    <t>Roan Weigert</t>
  </si>
  <si>
    <t>Sharing AI insights from San Francisco 🌉 Data Analyst &amp; Marketing | DevRel AI Engineer @ Aparavi</t>
  </si>
  <si>
    <t>Youtuber</t>
  </si>
  <si>
    <t>BFCAI15</t>
  </si>
  <si>
    <t>Media / Film, Tech / AI, Education / Training, Branding / Marketing</t>
  </si>
  <si>
    <t>Creating short videos or promos with AI, Personalized brand content with AI, Turning my brand or product into AI-powered video content</t>
  </si>
  <si>
    <t>Vinny</t>
  </si>
  <si>
    <t>Software Engineer</t>
  </si>
  <si>
    <t>Samantha Ouyang</t>
  </si>
  <si>
    <t>UPenn M&amp;T | Founder of Superposition Toronto | Biopolymers, Soft Matter &amp; Smart Materials | Blockchain Developer | IChO Team Canada '22 | Woman of the Year '22 | Future 25 Under 25 | TKS Alumni</t>
  </si>
  <si>
    <t>Sam Gorman</t>
  </si>
  <si>
    <t>Software Engineer at Snorkel AI</t>
  </si>
  <si>
    <t>Sean Bovell</t>
  </si>
  <si>
    <t>Stealth Commerce founder</t>
  </si>
  <si>
    <t>Stefanie Miller</t>
  </si>
  <si>
    <t>COO at Fondu | Champion for People &amp; Ideas | Driving Strategy, Sustainability, &amp; Ethical AI</t>
  </si>
  <si>
    <t>Personalized brand content with AI, Collaborating with AI creative teams, Turning my brand or product into AI-powered video content</t>
  </si>
  <si>
    <t>Lana</t>
  </si>
  <si>
    <t>Creative Filmmaker | Storyteller| Capturing Voices and Visions Through the Lens</t>
  </si>
  <si>
    <t>Tracy</t>
  </si>
  <si>
    <t>Executive Consultant, Crossfunctional Business Leader, &amp; Trusted Advisor. Supporting senior executives, nonprofit executive directors, and thought leaders focused on making the world a better place.</t>
  </si>
  <si>
    <t>Creating short videos or promos with AI, Collaborating with AI creative teams, AI story design and scriptwriting</t>
  </si>
  <si>
    <t>Depends on the context, Yes, I’m interested</t>
  </si>
  <si>
    <t>Tristin Lazaneo</t>
  </si>
  <si>
    <t>Inventor of Modular AI video Sythesis| Over 30 million impressions| meta recognized creator | High-Performance Visuals for Brands &amp; Influencers | Proven ROI</t>
  </si>
  <si>
    <t>Media / Film, Tech / AI, Branding / Marketing</t>
  </si>
  <si>
    <t>Michael Cummings</t>
  </si>
  <si>
    <t>Founder of Apex Performance Life. Veteran Silicon Valley &amp; SF Web/SaaS/Product designer pivoting to startup founder.</t>
  </si>
  <si>
    <t>Zara Nem</t>
  </si>
  <si>
    <t>Building an AI-powered BioExchange platform</t>
  </si>
  <si>
    <t>Ameya Jadhav</t>
  </si>
  <si>
    <t>OpenAI | Neo | CS AI @ Stanford</t>
  </si>
  <si>
    <t>declined</t>
  </si>
  <si>
    <t>Cesar Valenzuela</t>
  </si>
  <si>
    <t>Product Manager @ Square | Data Product Development</t>
  </si>
  <si>
    <t>Product Manager</t>
  </si>
  <si>
    <t>Ethan</t>
  </si>
  <si>
    <t>Software Developer</t>
  </si>
  <si>
    <t>Dev</t>
  </si>
  <si>
    <t>Submitting for Matching! [YC/Draper/Lightspeed]</t>
  </si>
  <si>
    <t>Latif Hamlani</t>
  </si>
  <si>
    <t>Founder / CEO - Partner Assistant AI - Intelligent Cloud and Channel Management for Technology Companies</t>
  </si>
  <si>
    <t>Natanya</t>
  </si>
  <si>
    <t>Founder &amp; Experienced Operator</t>
  </si>
  <si>
    <t>AI story design and scriptwriting, Personalized brand content with AI</t>
  </si>
  <si>
    <t>Dr. Paul Fang</t>
  </si>
  <si>
    <t>Founder &amp; CEO @ Bay Area Founders Club (50K+ Members | 2000+ Startups | 650+ VCs)</t>
  </si>
  <si>
    <t>Rula Sa</t>
  </si>
  <si>
    <t>Student at University of California, Davis</t>
  </si>
  <si>
    <t>Tech / AI, Gaming / Interactive Entertainment</t>
  </si>
  <si>
    <t>AI story design and scriptwriting, Turning my brand or product into AI-powered video content</t>
  </si>
  <si>
    <t>Sharveen</t>
  </si>
  <si>
    <t>AI Agents for Customer Interactions and Sales Capabilities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</si>
</sst>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left" shrinkToFit="0" vertical="bottom" wrapText="0"/>
    </xf>
    <xf borderId="0" fillId="0" fontId="1" numFmtId="0" xfId="0" applyAlignment="1" applyFont="1">
      <alignment horizontal="left" vertical="bottom"/>
    </xf>
    <xf borderId="0" fillId="0" fontId="1" numFmtId="164" xfId="0" applyAlignment="1" applyFont="1" applyNumberForma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3"/>
    </row>
    <row r="2">
      <c r="A2" s="1" t="s">
        <v>26</v>
      </c>
      <c r="B2" s="1" t="s">
        <v>27</v>
      </c>
      <c r="C2" s="1">
        <v>30.0</v>
      </c>
      <c r="D2" s="1" t="s">
        <v>28</v>
      </c>
      <c r="E2" s="1" t="s">
        <v>29</v>
      </c>
      <c r="F2" s="1" t="s">
        <v>30</v>
      </c>
      <c r="G2" s="1">
        <v>0.0</v>
      </c>
      <c r="H2" s="1">
        <v>198.0</v>
      </c>
      <c r="I2" s="1">
        <v>4.0</v>
      </c>
      <c r="J2" s="1">
        <v>4.0</v>
      </c>
      <c r="K2" s="1" t="s">
        <v>31</v>
      </c>
      <c r="L2" s="1">
        <v>8592.0</v>
      </c>
      <c r="M2" s="1" t="s">
        <v>32</v>
      </c>
      <c r="N2" s="1">
        <v>1.0</v>
      </c>
      <c r="O2" s="4">
        <v>0.0</v>
      </c>
      <c r="P2" s="4">
        <v>0.0</v>
      </c>
      <c r="Q2" s="4">
        <v>0.0</v>
      </c>
      <c r="R2" s="5"/>
      <c r="S2" s="1" t="s">
        <v>33</v>
      </c>
      <c r="T2" s="1">
        <f t="shared" ref="T2:T51" si="1">IF(J2&gt;2, 1,IF(AND(J2&lt;3,J2&gt;0),2,3))</f>
        <v>1</v>
      </c>
      <c r="U2" s="1">
        <f t="shared" ref="U2:U51" si="2">IF(AND(ISBLANK(R2),O2&gt;0),1,IF(AND(R2&lt;&gt;"",O2&gt;0),2,3))</f>
        <v>3</v>
      </c>
      <c r="V2" s="1" t="s">
        <v>34</v>
      </c>
      <c r="W2" s="1" t="s">
        <v>35</v>
      </c>
      <c r="X2" s="1" t="s">
        <v>36</v>
      </c>
      <c r="Y2" s="1" t="s">
        <v>37</v>
      </c>
      <c r="Z2" s="1" t="s">
        <v>38</v>
      </c>
      <c r="AA2" s="3"/>
    </row>
    <row r="3">
      <c r="A3" s="1" t="s">
        <v>39</v>
      </c>
      <c r="B3" s="1" t="s">
        <v>40</v>
      </c>
      <c r="C3" s="1">
        <v>50.0</v>
      </c>
      <c r="D3" s="1" t="s">
        <v>41</v>
      </c>
      <c r="E3" s="1" t="s">
        <v>29</v>
      </c>
      <c r="F3" s="1" t="s">
        <v>30</v>
      </c>
      <c r="G3" s="1">
        <v>1.0</v>
      </c>
      <c r="H3" s="1">
        <v>128.0</v>
      </c>
      <c r="I3" s="1">
        <v>3.0</v>
      </c>
      <c r="J3" s="1">
        <v>3.0</v>
      </c>
      <c r="K3" s="1" t="s">
        <v>42</v>
      </c>
      <c r="L3" s="1" t="s">
        <v>30</v>
      </c>
      <c r="M3" s="1" t="s">
        <v>32</v>
      </c>
      <c r="N3" s="1">
        <v>1.0</v>
      </c>
      <c r="O3" s="4">
        <v>38.4</v>
      </c>
      <c r="P3" s="4">
        <v>0.0</v>
      </c>
      <c r="Q3" s="4">
        <v>89.6</v>
      </c>
      <c r="R3" s="1" t="s">
        <v>43</v>
      </c>
      <c r="S3" s="1" t="s">
        <v>44</v>
      </c>
      <c r="T3" s="1">
        <f t="shared" si="1"/>
        <v>1</v>
      </c>
      <c r="U3" s="1">
        <f t="shared" si="2"/>
        <v>2</v>
      </c>
      <c r="V3" s="1" t="s">
        <v>45</v>
      </c>
      <c r="W3" s="1" t="s">
        <v>46</v>
      </c>
      <c r="X3" s="1" t="s">
        <v>36</v>
      </c>
      <c r="Y3" s="1" t="s">
        <v>47</v>
      </c>
      <c r="Z3" s="1" t="s">
        <v>38</v>
      </c>
      <c r="AA3" s="3"/>
    </row>
    <row r="4">
      <c r="A4" s="1" t="s">
        <v>48</v>
      </c>
      <c r="B4" s="1" t="s">
        <v>27</v>
      </c>
      <c r="C4" s="1">
        <v>40.0</v>
      </c>
      <c r="D4" s="1" t="s">
        <v>49</v>
      </c>
      <c r="E4" s="1" t="s">
        <v>50</v>
      </c>
      <c r="F4" s="1" t="s">
        <v>30</v>
      </c>
      <c r="G4" s="1">
        <v>0.0</v>
      </c>
      <c r="H4" s="1">
        <v>2.0</v>
      </c>
      <c r="I4" s="1">
        <v>1.0</v>
      </c>
      <c r="J4" s="1">
        <v>1.0</v>
      </c>
      <c r="K4" s="1" t="s">
        <v>30</v>
      </c>
      <c r="L4" s="1" t="s">
        <v>30</v>
      </c>
      <c r="M4" s="1" t="s">
        <v>32</v>
      </c>
      <c r="N4" s="1">
        <v>0.0</v>
      </c>
      <c r="O4" s="4">
        <v>75.6</v>
      </c>
      <c r="P4" s="4">
        <v>0.0</v>
      </c>
      <c r="Q4" s="4">
        <v>32.4</v>
      </c>
      <c r="R4" s="1" t="s">
        <v>51</v>
      </c>
      <c r="S4" s="1" t="s">
        <v>52</v>
      </c>
      <c r="T4" s="1">
        <f t="shared" si="1"/>
        <v>2</v>
      </c>
      <c r="U4" s="1">
        <f t="shared" si="2"/>
        <v>2</v>
      </c>
      <c r="V4" s="1" t="s">
        <v>45</v>
      </c>
      <c r="W4" s="1" t="s">
        <v>53</v>
      </c>
      <c r="X4" s="1" t="s">
        <v>54</v>
      </c>
      <c r="Y4" s="1" t="s">
        <v>55</v>
      </c>
      <c r="Z4" s="1" t="s">
        <v>56</v>
      </c>
      <c r="AA4" s="3"/>
    </row>
    <row r="5">
      <c r="A5" s="1" t="s">
        <v>57</v>
      </c>
      <c r="B5" s="1" t="s">
        <v>27</v>
      </c>
      <c r="C5" s="1">
        <v>30.0</v>
      </c>
      <c r="D5" s="1" t="s">
        <v>58</v>
      </c>
      <c r="E5" s="1" t="s">
        <v>59</v>
      </c>
      <c r="F5" s="1" t="s">
        <v>30</v>
      </c>
      <c r="G5" s="1">
        <v>0.0</v>
      </c>
      <c r="H5" s="1">
        <v>14.0</v>
      </c>
      <c r="I5" s="1">
        <v>3.0</v>
      </c>
      <c r="J5" s="1">
        <v>3.0</v>
      </c>
      <c r="K5" s="1" t="s">
        <v>30</v>
      </c>
      <c r="L5" s="1" t="s">
        <v>30</v>
      </c>
      <c r="M5" s="1" t="s">
        <v>32</v>
      </c>
      <c r="N5" s="1">
        <v>1.0</v>
      </c>
      <c r="O5" s="4">
        <v>0.0</v>
      </c>
      <c r="P5" s="4">
        <v>0.0</v>
      </c>
      <c r="Q5" s="4">
        <v>0.0</v>
      </c>
      <c r="R5" s="5"/>
      <c r="S5" s="1" t="s">
        <v>33</v>
      </c>
      <c r="T5" s="1">
        <f t="shared" si="1"/>
        <v>1</v>
      </c>
      <c r="U5" s="1">
        <f t="shared" si="2"/>
        <v>3</v>
      </c>
      <c r="V5" s="1" t="s">
        <v>34</v>
      </c>
      <c r="W5" s="1" t="s">
        <v>60</v>
      </c>
      <c r="X5" s="1" t="s">
        <v>61</v>
      </c>
      <c r="Y5" s="1" t="s">
        <v>62</v>
      </c>
      <c r="Z5" s="1" t="s">
        <v>38</v>
      </c>
      <c r="AA5" s="3"/>
    </row>
    <row r="6">
      <c r="A6" s="1" t="s">
        <v>63</v>
      </c>
      <c r="B6" s="1" t="s">
        <v>27</v>
      </c>
      <c r="C6" s="1">
        <v>40.0</v>
      </c>
      <c r="D6" s="1" t="s">
        <v>64</v>
      </c>
      <c r="E6" s="1" t="s">
        <v>29</v>
      </c>
      <c r="F6" s="1" t="s">
        <v>30</v>
      </c>
      <c r="G6" s="1">
        <v>0.0</v>
      </c>
      <c r="H6" s="1">
        <v>4.0</v>
      </c>
      <c r="I6" s="1">
        <v>1.0</v>
      </c>
      <c r="J6" s="1">
        <v>1.0</v>
      </c>
      <c r="K6" s="1" t="s">
        <v>30</v>
      </c>
      <c r="L6" s="1" t="s">
        <v>30</v>
      </c>
      <c r="M6" s="1" t="s">
        <v>32</v>
      </c>
      <c r="N6" s="1">
        <v>1.0</v>
      </c>
      <c r="O6" s="4">
        <v>0.0</v>
      </c>
      <c r="P6" s="4">
        <v>0.0</v>
      </c>
      <c r="Q6" s="4">
        <v>0.0</v>
      </c>
      <c r="R6" s="5"/>
      <c r="S6" s="1" t="s">
        <v>33</v>
      </c>
      <c r="T6" s="1">
        <f t="shared" si="1"/>
        <v>2</v>
      </c>
      <c r="U6" s="1">
        <f t="shared" si="2"/>
        <v>3</v>
      </c>
      <c r="V6" s="1" t="s">
        <v>45</v>
      </c>
      <c r="W6" s="1" t="s">
        <v>65</v>
      </c>
      <c r="X6" s="1" t="s">
        <v>36</v>
      </c>
      <c r="Y6" s="1" t="s">
        <v>66</v>
      </c>
      <c r="Z6" s="1" t="s">
        <v>38</v>
      </c>
      <c r="AA6" s="3"/>
    </row>
    <row r="7">
      <c r="A7" s="1" t="s">
        <v>33</v>
      </c>
      <c r="B7" s="1" t="s">
        <v>40</v>
      </c>
      <c r="C7" s="1">
        <v>40.0</v>
      </c>
      <c r="D7" s="1" t="s">
        <v>67</v>
      </c>
      <c r="E7" s="1" t="s">
        <v>29</v>
      </c>
      <c r="F7" s="1" t="s">
        <v>30</v>
      </c>
      <c r="G7" s="1">
        <v>20.0</v>
      </c>
      <c r="H7" s="1">
        <v>140.0</v>
      </c>
      <c r="I7" s="1">
        <v>18.0</v>
      </c>
      <c r="J7" s="1">
        <v>16.0</v>
      </c>
      <c r="K7" s="1" t="s">
        <v>30</v>
      </c>
      <c r="L7" s="1" t="s">
        <v>30</v>
      </c>
      <c r="M7" s="1" t="s">
        <v>32</v>
      </c>
      <c r="N7" s="1">
        <v>0.0</v>
      </c>
      <c r="O7" s="4">
        <v>0.0</v>
      </c>
      <c r="P7" s="4">
        <v>0.0</v>
      </c>
      <c r="Q7" s="4">
        <v>0.0</v>
      </c>
      <c r="R7" s="5"/>
      <c r="S7" s="1" t="s">
        <v>68</v>
      </c>
      <c r="T7" s="1">
        <f t="shared" si="1"/>
        <v>1</v>
      </c>
      <c r="U7" s="1">
        <f t="shared" si="2"/>
        <v>3</v>
      </c>
      <c r="V7" s="5"/>
      <c r="W7" s="5"/>
      <c r="X7" s="5"/>
      <c r="Y7" s="5"/>
      <c r="Z7" s="5"/>
      <c r="AA7" s="3"/>
    </row>
    <row r="8">
      <c r="A8" s="1" t="s">
        <v>69</v>
      </c>
      <c r="B8" s="1" t="s">
        <v>27</v>
      </c>
      <c r="C8" s="1">
        <v>50.0</v>
      </c>
      <c r="D8" s="1" t="s">
        <v>70</v>
      </c>
      <c r="E8" s="1" t="s">
        <v>59</v>
      </c>
      <c r="F8" s="1" t="s">
        <v>30</v>
      </c>
      <c r="G8" s="1">
        <v>0.0</v>
      </c>
      <c r="H8" s="1">
        <v>2.0</v>
      </c>
      <c r="I8" s="1">
        <v>1.0</v>
      </c>
      <c r="J8" s="1">
        <v>1.0</v>
      </c>
      <c r="K8" s="1" t="s">
        <v>31</v>
      </c>
      <c r="L8" s="1" t="s">
        <v>30</v>
      </c>
      <c r="M8" s="1" t="s">
        <v>32</v>
      </c>
      <c r="N8" s="1">
        <v>0.0</v>
      </c>
      <c r="O8" s="4">
        <v>0.0</v>
      </c>
      <c r="P8" s="4">
        <v>0.0</v>
      </c>
      <c r="Q8" s="4">
        <v>98.0</v>
      </c>
      <c r="R8" s="1" t="s">
        <v>71</v>
      </c>
      <c r="S8" s="1" t="s">
        <v>72</v>
      </c>
      <c r="T8" s="1">
        <f t="shared" si="1"/>
        <v>2</v>
      </c>
      <c r="U8" s="1">
        <f t="shared" si="2"/>
        <v>3</v>
      </c>
      <c r="V8" s="1" t="s">
        <v>45</v>
      </c>
      <c r="W8" s="1" t="s">
        <v>65</v>
      </c>
      <c r="X8" s="1" t="s">
        <v>73</v>
      </c>
      <c r="Y8" s="1" t="s">
        <v>74</v>
      </c>
      <c r="Z8" s="1" t="s">
        <v>75</v>
      </c>
      <c r="AA8" s="3"/>
    </row>
    <row r="9">
      <c r="A9" s="1" t="s">
        <v>76</v>
      </c>
      <c r="B9" s="1" t="s">
        <v>27</v>
      </c>
      <c r="C9" s="1">
        <v>40.0</v>
      </c>
      <c r="D9" s="1" t="s">
        <v>77</v>
      </c>
      <c r="E9" s="1" t="s">
        <v>59</v>
      </c>
      <c r="F9" s="1" t="s">
        <v>30</v>
      </c>
      <c r="G9" s="1">
        <v>0.0</v>
      </c>
      <c r="H9" s="1">
        <v>9.0</v>
      </c>
      <c r="I9" s="1">
        <v>1.0</v>
      </c>
      <c r="J9" s="1">
        <v>1.0</v>
      </c>
      <c r="K9" s="1" t="s">
        <v>30</v>
      </c>
      <c r="L9" s="1" t="s">
        <v>30</v>
      </c>
      <c r="M9" s="1" t="s">
        <v>32</v>
      </c>
      <c r="N9" s="1">
        <v>0.0</v>
      </c>
      <c r="O9" s="4">
        <v>0.0</v>
      </c>
      <c r="P9" s="4">
        <v>0.0</v>
      </c>
      <c r="Q9" s="4">
        <v>128.0</v>
      </c>
      <c r="R9" s="1" t="s">
        <v>78</v>
      </c>
      <c r="S9" s="1" t="s">
        <v>44</v>
      </c>
      <c r="T9" s="1">
        <f t="shared" si="1"/>
        <v>2</v>
      </c>
      <c r="U9" s="1">
        <f t="shared" si="2"/>
        <v>3</v>
      </c>
      <c r="V9" s="1" t="s">
        <v>45</v>
      </c>
      <c r="W9" s="1" t="s">
        <v>65</v>
      </c>
      <c r="X9" s="1" t="s">
        <v>36</v>
      </c>
      <c r="Y9" s="1" t="s">
        <v>79</v>
      </c>
      <c r="Z9" s="1" t="s">
        <v>75</v>
      </c>
      <c r="AA9" s="3"/>
    </row>
    <row r="10">
      <c r="A10" s="1" t="s">
        <v>80</v>
      </c>
      <c r="B10" s="1" t="s">
        <v>27</v>
      </c>
      <c r="C10" s="1">
        <v>40.0</v>
      </c>
      <c r="D10" s="1" t="s">
        <v>81</v>
      </c>
      <c r="E10" s="1" t="s">
        <v>82</v>
      </c>
      <c r="F10" s="1" t="s">
        <v>83</v>
      </c>
      <c r="G10" s="1">
        <v>0.0</v>
      </c>
      <c r="H10" s="1">
        <v>3.0</v>
      </c>
      <c r="I10" s="1">
        <v>1.0</v>
      </c>
      <c r="J10" s="1">
        <v>1.0</v>
      </c>
      <c r="K10" s="1" t="s">
        <v>42</v>
      </c>
      <c r="L10" s="1" t="s">
        <v>30</v>
      </c>
      <c r="M10" s="1" t="s">
        <v>32</v>
      </c>
      <c r="N10" s="1">
        <v>1.0</v>
      </c>
      <c r="O10" s="4">
        <v>98.0</v>
      </c>
      <c r="P10" s="4">
        <v>0.0</v>
      </c>
      <c r="Q10" s="4">
        <v>0.0</v>
      </c>
      <c r="R10" s="5"/>
      <c r="S10" s="1" t="s">
        <v>72</v>
      </c>
      <c r="T10" s="1">
        <f t="shared" si="1"/>
        <v>2</v>
      </c>
      <c r="U10" s="1">
        <f t="shared" si="2"/>
        <v>1</v>
      </c>
      <c r="V10" s="1" t="s">
        <v>45</v>
      </c>
      <c r="W10" s="1" t="s">
        <v>84</v>
      </c>
      <c r="X10" s="1" t="s">
        <v>36</v>
      </c>
      <c r="Y10" s="1" t="s">
        <v>37</v>
      </c>
      <c r="Z10" s="1" t="s">
        <v>38</v>
      </c>
      <c r="AA10" s="3"/>
    </row>
    <row r="11">
      <c r="A11" s="1" t="s">
        <v>85</v>
      </c>
      <c r="B11" s="1" t="s">
        <v>40</v>
      </c>
      <c r="C11" s="1">
        <v>40.0</v>
      </c>
      <c r="D11" s="1" t="s">
        <v>86</v>
      </c>
      <c r="E11" s="1" t="s">
        <v>82</v>
      </c>
      <c r="F11" s="1" t="s">
        <v>87</v>
      </c>
      <c r="G11" s="1">
        <v>3.0</v>
      </c>
      <c r="H11" s="1">
        <v>43.0</v>
      </c>
      <c r="I11" s="1">
        <v>1.0</v>
      </c>
      <c r="J11" s="1">
        <v>1.0</v>
      </c>
      <c r="K11" s="1" t="s">
        <v>30</v>
      </c>
      <c r="L11" s="1" t="s">
        <v>30</v>
      </c>
      <c r="M11" s="1" t="s">
        <v>32</v>
      </c>
      <c r="N11" s="1">
        <v>0.0</v>
      </c>
      <c r="O11" s="4">
        <v>0.0</v>
      </c>
      <c r="P11" s="4">
        <v>0.0</v>
      </c>
      <c r="Q11" s="4">
        <v>0.0</v>
      </c>
      <c r="R11" s="5"/>
      <c r="S11" s="1" t="s">
        <v>33</v>
      </c>
      <c r="T11" s="1">
        <f t="shared" si="1"/>
        <v>2</v>
      </c>
      <c r="U11" s="1">
        <f t="shared" si="2"/>
        <v>3</v>
      </c>
      <c r="V11" s="1" t="s">
        <v>45</v>
      </c>
      <c r="W11" s="1" t="s">
        <v>53</v>
      </c>
      <c r="X11" s="1" t="s">
        <v>61</v>
      </c>
      <c r="Y11" s="1" t="s">
        <v>88</v>
      </c>
      <c r="Z11" s="1" t="s">
        <v>38</v>
      </c>
      <c r="AA11" s="3"/>
    </row>
    <row r="12">
      <c r="A12" s="1" t="s">
        <v>89</v>
      </c>
      <c r="B12" s="1" t="s">
        <v>27</v>
      </c>
      <c r="C12" s="1">
        <v>40.0</v>
      </c>
      <c r="D12" s="1" t="s">
        <v>90</v>
      </c>
      <c r="E12" s="1" t="s">
        <v>29</v>
      </c>
      <c r="F12" s="1" t="s">
        <v>30</v>
      </c>
      <c r="G12" s="1">
        <v>0.0</v>
      </c>
      <c r="H12" s="1">
        <v>34.0</v>
      </c>
      <c r="I12" s="1">
        <v>1.0</v>
      </c>
      <c r="J12" s="1">
        <v>1.0</v>
      </c>
      <c r="K12" s="1" t="s">
        <v>42</v>
      </c>
      <c r="L12" s="1" t="s">
        <v>30</v>
      </c>
      <c r="M12" s="1" t="s">
        <v>32</v>
      </c>
      <c r="N12" s="1">
        <v>1.0</v>
      </c>
      <c r="O12" s="4">
        <v>108.0</v>
      </c>
      <c r="P12" s="4">
        <v>0.0</v>
      </c>
      <c r="Q12" s="4">
        <v>0.0</v>
      </c>
      <c r="R12" s="5"/>
      <c r="S12" s="1" t="s">
        <v>52</v>
      </c>
      <c r="T12" s="1">
        <f t="shared" si="1"/>
        <v>2</v>
      </c>
      <c r="U12" s="1">
        <f t="shared" si="2"/>
        <v>1</v>
      </c>
      <c r="V12" s="1" t="s">
        <v>45</v>
      </c>
      <c r="W12" s="1" t="s">
        <v>91</v>
      </c>
      <c r="X12" s="1" t="s">
        <v>61</v>
      </c>
      <c r="Y12" s="1" t="s">
        <v>92</v>
      </c>
      <c r="Z12" s="1" t="s">
        <v>38</v>
      </c>
      <c r="AA12" s="3"/>
    </row>
    <row r="13">
      <c r="A13" s="1" t="s">
        <v>93</v>
      </c>
      <c r="B13" s="1" t="s">
        <v>27</v>
      </c>
      <c r="C13" s="1">
        <v>40.0</v>
      </c>
      <c r="D13" s="1" t="s">
        <v>94</v>
      </c>
      <c r="E13" s="1" t="s">
        <v>95</v>
      </c>
      <c r="F13" s="1" t="s">
        <v>30</v>
      </c>
      <c r="G13" s="1">
        <v>8.0</v>
      </c>
      <c r="H13" s="1">
        <v>123.0</v>
      </c>
      <c r="I13" s="1">
        <v>1.0</v>
      </c>
      <c r="J13" s="1">
        <v>1.0</v>
      </c>
      <c r="K13" s="1" t="s">
        <v>30</v>
      </c>
      <c r="L13" s="1" t="s">
        <v>30</v>
      </c>
      <c r="M13" s="1" t="s">
        <v>32</v>
      </c>
      <c r="N13" s="1">
        <v>0.0</v>
      </c>
      <c r="O13" s="4">
        <v>12.8</v>
      </c>
      <c r="P13" s="4">
        <v>0.0</v>
      </c>
      <c r="Q13" s="4">
        <v>115.2</v>
      </c>
      <c r="R13" s="1" t="s">
        <v>96</v>
      </c>
      <c r="S13" s="1" t="s">
        <v>44</v>
      </c>
      <c r="T13" s="1">
        <f t="shared" si="1"/>
        <v>2</v>
      </c>
      <c r="U13" s="1">
        <f t="shared" si="2"/>
        <v>2</v>
      </c>
      <c r="V13" s="1" t="s">
        <v>45</v>
      </c>
      <c r="W13" s="1" t="s">
        <v>97</v>
      </c>
      <c r="X13" s="1" t="s">
        <v>36</v>
      </c>
      <c r="Y13" s="1" t="s">
        <v>37</v>
      </c>
      <c r="Z13" s="1" t="s">
        <v>38</v>
      </c>
      <c r="AA13" s="3"/>
    </row>
    <row r="14">
      <c r="A14" s="1" t="s">
        <v>98</v>
      </c>
      <c r="B14" s="1" t="s">
        <v>27</v>
      </c>
      <c r="C14" s="1">
        <v>50.0</v>
      </c>
      <c r="D14" s="1" t="s">
        <v>99</v>
      </c>
      <c r="E14" s="1" t="s">
        <v>82</v>
      </c>
      <c r="F14" s="1" t="s">
        <v>100</v>
      </c>
      <c r="G14" s="1">
        <v>0.0</v>
      </c>
      <c r="H14" s="1">
        <v>53.0</v>
      </c>
      <c r="I14" s="1">
        <v>1.0</v>
      </c>
      <c r="J14" s="1">
        <v>1.0</v>
      </c>
      <c r="K14" s="1" t="s">
        <v>30</v>
      </c>
      <c r="L14" s="1">
        <v>32.0</v>
      </c>
      <c r="M14" s="1" t="s">
        <v>32</v>
      </c>
      <c r="N14" s="1">
        <v>1.0</v>
      </c>
      <c r="O14" s="4">
        <v>10.8</v>
      </c>
      <c r="P14" s="4">
        <v>0.0</v>
      </c>
      <c r="Q14" s="4">
        <v>97.2</v>
      </c>
      <c r="R14" s="1" t="s">
        <v>96</v>
      </c>
      <c r="S14" s="1" t="s">
        <v>52</v>
      </c>
      <c r="T14" s="1">
        <f t="shared" si="1"/>
        <v>2</v>
      </c>
      <c r="U14" s="1">
        <f t="shared" si="2"/>
        <v>2</v>
      </c>
      <c r="V14" s="1" t="s">
        <v>45</v>
      </c>
      <c r="W14" s="1" t="s">
        <v>53</v>
      </c>
      <c r="X14" s="1" t="s">
        <v>36</v>
      </c>
      <c r="Y14" s="1" t="s">
        <v>101</v>
      </c>
      <c r="Z14" s="1" t="s">
        <v>56</v>
      </c>
      <c r="AA14" s="3"/>
    </row>
    <row r="15">
      <c r="A15" s="1" t="s">
        <v>102</v>
      </c>
      <c r="B15" s="1" t="s">
        <v>27</v>
      </c>
      <c r="C15" s="1">
        <v>40.0</v>
      </c>
      <c r="D15" s="1" t="s">
        <v>103</v>
      </c>
      <c r="E15" s="1" t="s">
        <v>50</v>
      </c>
      <c r="F15" s="1" t="s">
        <v>30</v>
      </c>
      <c r="G15" s="1">
        <v>0.0</v>
      </c>
      <c r="H15" s="1">
        <v>2.0</v>
      </c>
      <c r="I15" s="1">
        <v>1.0</v>
      </c>
      <c r="J15" s="1">
        <v>1.0</v>
      </c>
      <c r="K15" s="1" t="s">
        <v>42</v>
      </c>
      <c r="L15" s="1" t="s">
        <v>30</v>
      </c>
      <c r="M15" s="1" t="s">
        <v>32</v>
      </c>
      <c r="N15" s="1">
        <v>0.0</v>
      </c>
      <c r="O15" s="4">
        <v>128.0</v>
      </c>
      <c r="P15" s="4">
        <v>0.0</v>
      </c>
      <c r="Q15" s="4">
        <v>0.0</v>
      </c>
      <c r="R15" s="5"/>
      <c r="S15" s="1" t="s">
        <v>44</v>
      </c>
      <c r="T15" s="1">
        <f t="shared" si="1"/>
        <v>2</v>
      </c>
      <c r="U15" s="1">
        <f t="shared" si="2"/>
        <v>1</v>
      </c>
      <c r="V15" s="1" t="s">
        <v>45</v>
      </c>
      <c r="W15" s="1" t="s">
        <v>65</v>
      </c>
      <c r="X15" s="1" t="s">
        <v>36</v>
      </c>
      <c r="Y15" s="1" t="s">
        <v>37</v>
      </c>
      <c r="Z15" s="1" t="s">
        <v>38</v>
      </c>
      <c r="AA15" s="3"/>
    </row>
    <row r="16">
      <c r="A16" s="1" t="s">
        <v>104</v>
      </c>
      <c r="B16" s="1" t="s">
        <v>27</v>
      </c>
      <c r="C16" s="1">
        <v>50.0</v>
      </c>
      <c r="D16" s="1" t="s">
        <v>105</v>
      </c>
      <c r="E16" s="1" t="s">
        <v>59</v>
      </c>
      <c r="F16" s="1" t="s">
        <v>30</v>
      </c>
      <c r="G16" s="1">
        <v>0.0</v>
      </c>
      <c r="H16" s="1">
        <v>10.0</v>
      </c>
      <c r="I16" s="1">
        <v>4.0</v>
      </c>
      <c r="J16" s="1">
        <v>4.0</v>
      </c>
      <c r="K16" s="1" t="s">
        <v>31</v>
      </c>
      <c r="L16" s="1" t="s">
        <v>30</v>
      </c>
      <c r="M16" s="1" t="s">
        <v>32</v>
      </c>
      <c r="N16" s="1">
        <v>1.0</v>
      </c>
      <c r="O16" s="4">
        <v>0.0</v>
      </c>
      <c r="P16" s="4">
        <v>0.0</v>
      </c>
      <c r="Q16" s="4">
        <v>0.0</v>
      </c>
      <c r="R16" s="5"/>
      <c r="S16" s="1" t="s">
        <v>33</v>
      </c>
      <c r="T16" s="1">
        <f t="shared" si="1"/>
        <v>1</v>
      </c>
      <c r="U16" s="1">
        <f t="shared" si="2"/>
        <v>3</v>
      </c>
      <c r="V16" s="1" t="s">
        <v>34</v>
      </c>
      <c r="W16" s="1" t="s">
        <v>65</v>
      </c>
      <c r="X16" s="1" t="s">
        <v>61</v>
      </c>
      <c r="Y16" s="1" t="s">
        <v>106</v>
      </c>
      <c r="Z16" s="1" t="s">
        <v>75</v>
      </c>
      <c r="AA16" s="3"/>
    </row>
    <row r="17">
      <c r="A17" s="1" t="s">
        <v>107</v>
      </c>
      <c r="B17" s="1" t="s">
        <v>40</v>
      </c>
      <c r="C17" s="1">
        <v>30.0</v>
      </c>
      <c r="D17" s="1" t="s">
        <v>108</v>
      </c>
      <c r="E17" s="1" t="s">
        <v>95</v>
      </c>
      <c r="F17" s="1" t="s">
        <v>30</v>
      </c>
      <c r="G17" s="1">
        <v>2.0</v>
      </c>
      <c r="H17" s="1">
        <v>31.0</v>
      </c>
      <c r="I17" s="1">
        <v>1.0</v>
      </c>
      <c r="J17" s="1">
        <v>1.0</v>
      </c>
      <c r="K17" s="1" t="s">
        <v>30</v>
      </c>
      <c r="L17" s="1" t="s">
        <v>30</v>
      </c>
      <c r="M17" s="1" t="s">
        <v>32</v>
      </c>
      <c r="N17" s="1">
        <v>1.0</v>
      </c>
      <c r="O17" s="4">
        <v>54.0</v>
      </c>
      <c r="P17" s="4">
        <v>0.0</v>
      </c>
      <c r="Q17" s="4">
        <v>54.0</v>
      </c>
      <c r="R17" s="1" t="s">
        <v>109</v>
      </c>
      <c r="S17" s="1" t="s">
        <v>52</v>
      </c>
      <c r="T17" s="1">
        <f t="shared" si="1"/>
        <v>2</v>
      </c>
      <c r="U17" s="1">
        <f t="shared" si="2"/>
        <v>2</v>
      </c>
      <c r="V17" s="1" t="s">
        <v>45</v>
      </c>
      <c r="W17" s="1" t="s">
        <v>110</v>
      </c>
      <c r="X17" s="1" t="s">
        <v>36</v>
      </c>
      <c r="Y17" s="1" t="s">
        <v>74</v>
      </c>
      <c r="Z17" s="1" t="s">
        <v>38</v>
      </c>
      <c r="AA17" s="3"/>
    </row>
    <row r="18">
      <c r="A18" s="1" t="s">
        <v>111</v>
      </c>
      <c r="B18" s="1" t="s">
        <v>27</v>
      </c>
      <c r="C18" s="1">
        <v>40.0</v>
      </c>
      <c r="D18" s="1" t="s">
        <v>112</v>
      </c>
      <c r="E18" s="1" t="s">
        <v>59</v>
      </c>
      <c r="F18" s="1" t="s">
        <v>30</v>
      </c>
      <c r="G18" s="1">
        <v>1.0</v>
      </c>
      <c r="H18" s="1">
        <v>524.0</v>
      </c>
      <c r="I18" s="1">
        <v>1.0</v>
      </c>
      <c r="J18" s="1">
        <v>1.0</v>
      </c>
      <c r="K18" s="1" t="s">
        <v>30</v>
      </c>
      <c r="L18" s="1">
        <v>1791.0</v>
      </c>
      <c r="M18" s="1" t="s">
        <v>32</v>
      </c>
      <c r="N18" s="1">
        <v>0.0</v>
      </c>
      <c r="O18" s="4">
        <v>0.0</v>
      </c>
      <c r="P18" s="4">
        <v>0.0</v>
      </c>
      <c r="Q18" s="4">
        <v>0.0</v>
      </c>
      <c r="R18" s="5"/>
      <c r="S18" s="1" t="s">
        <v>33</v>
      </c>
      <c r="T18" s="1">
        <f t="shared" si="1"/>
        <v>2</v>
      </c>
      <c r="U18" s="1">
        <f t="shared" si="2"/>
        <v>3</v>
      </c>
      <c r="V18" s="1" t="s">
        <v>34</v>
      </c>
      <c r="W18" s="1" t="s">
        <v>53</v>
      </c>
      <c r="X18" s="1" t="s">
        <v>73</v>
      </c>
      <c r="Y18" s="1" t="s">
        <v>113</v>
      </c>
      <c r="Z18" s="1" t="s">
        <v>75</v>
      </c>
      <c r="AA18" s="3"/>
    </row>
    <row r="19">
      <c r="A19" s="1" t="s">
        <v>114</v>
      </c>
      <c r="B19" s="1" t="s">
        <v>27</v>
      </c>
      <c r="C19" s="1">
        <v>30.0</v>
      </c>
      <c r="D19" s="1" t="s">
        <v>115</v>
      </c>
      <c r="E19" s="1" t="s">
        <v>95</v>
      </c>
      <c r="F19" s="1" t="s">
        <v>30</v>
      </c>
      <c r="G19" s="1">
        <v>0.0</v>
      </c>
      <c r="H19" s="1">
        <v>202.0</v>
      </c>
      <c r="I19" s="1">
        <v>2.0</v>
      </c>
      <c r="J19" s="1">
        <v>2.0</v>
      </c>
      <c r="K19" s="1" t="s">
        <v>30</v>
      </c>
      <c r="L19" s="1">
        <v>845.0</v>
      </c>
      <c r="M19" s="1" t="s">
        <v>32</v>
      </c>
      <c r="N19" s="1">
        <v>0.0</v>
      </c>
      <c r="O19" s="4">
        <v>0.0</v>
      </c>
      <c r="P19" s="4">
        <v>0.0</v>
      </c>
      <c r="Q19" s="4">
        <v>108.0</v>
      </c>
      <c r="R19" s="1" t="s">
        <v>78</v>
      </c>
      <c r="S19" s="1" t="s">
        <v>52</v>
      </c>
      <c r="T19" s="1">
        <f t="shared" si="1"/>
        <v>2</v>
      </c>
      <c r="U19" s="1">
        <f t="shared" si="2"/>
        <v>3</v>
      </c>
      <c r="V19" s="1" t="s">
        <v>45</v>
      </c>
      <c r="W19" s="1" t="s">
        <v>53</v>
      </c>
      <c r="X19" s="1" t="s">
        <v>73</v>
      </c>
      <c r="Y19" s="1" t="s">
        <v>101</v>
      </c>
      <c r="Z19" s="1" t="s">
        <v>56</v>
      </c>
      <c r="AA19" s="3"/>
    </row>
    <row r="20">
      <c r="A20" s="1" t="s">
        <v>116</v>
      </c>
      <c r="B20" s="1" t="s">
        <v>40</v>
      </c>
      <c r="C20" s="1">
        <v>30.0</v>
      </c>
      <c r="D20" s="1" t="s">
        <v>117</v>
      </c>
      <c r="E20" s="1" t="s">
        <v>118</v>
      </c>
      <c r="F20" s="1" t="s">
        <v>30</v>
      </c>
      <c r="G20" s="1">
        <v>0.0</v>
      </c>
      <c r="H20" s="1">
        <v>9.0</v>
      </c>
      <c r="I20" s="1">
        <v>1.0</v>
      </c>
      <c r="J20" s="1">
        <v>1.0</v>
      </c>
      <c r="K20" s="1" t="s">
        <v>30</v>
      </c>
      <c r="L20" s="1" t="s">
        <v>30</v>
      </c>
      <c r="M20" s="1" t="s">
        <v>32</v>
      </c>
      <c r="N20" s="1">
        <v>0.0</v>
      </c>
      <c r="O20" s="4">
        <v>0.0</v>
      </c>
      <c r="P20" s="4">
        <v>0.0</v>
      </c>
      <c r="Q20" s="4">
        <v>0.0</v>
      </c>
      <c r="R20" s="5"/>
      <c r="S20" s="1" t="s">
        <v>33</v>
      </c>
      <c r="T20" s="1">
        <f t="shared" si="1"/>
        <v>2</v>
      </c>
      <c r="U20" s="1">
        <f t="shared" si="2"/>
        <v>3</v>
      </c>
      <c r="V20" s="1" t="s">
        <v>45</v>
      </c>
      <c r="W20" s="1" t="s">
        <v>35</v>
      </c>
      <c r="X20" s="1" t="s">
        <v>36</v>
      </c>
      <c r="Y20" s="1" t="s">
        <v>101</v>
      </c>
      <c r="Z20" s="1" t="s">
        <v>38</v>
      </c>
      <c r="AA20" s="3"/>
    </row>
    <row r="21">
      <c r="A21" s="1" t="s">
        <v>119</v>
      </c>
      <c r="B21" s="1" t="s">
        <v>27</v>
      </c>
      <c r="C21" s="1">
        <v>20.0</v>
      </c>
      <c r="D21" s="1" t="s">
        <v>120</v>
      </c>
      <c r="E21" s="1" t="s">
        <v>29</v>
      </c>
      <c r="F21" s="1" t="s">
        <v>30</v>
      </c>
      <c r="G21" s="1">
        <v>0.0</v>
      </c>
      <c r="H21" s="1">
        <v>1.0</v>
      </c>
      <c r="I21" s="1">
        <v>1.0</v>
      </c>
      <c r="J21" s="1">
        <v>1.0</v>
      </c>
      <c r="K21" s="1" t="s">
        <v>30</v>
      </c>
      <c r="L21" s="1" t="s">
        <v>30</v>
      </c>
      <c r="M21" s="1" t="s">
        <v>32</v>
      </c>
      <c r="N21" s="1">
        <v>1.0</v>
      </c>
      <c r="O21" s="4">
        <v>75.6</v>
      </c>
      <c r="P21" s="4">
        <v>0.0</v>
      </c>
      <c r="Q21" s="4">
        <v>32.4</v>
      </c>
      <c r="R21" s="1" t="s">
        <v>51</v>
      </c>
      <c r="S21" s="1" t="s">
        <v>52</v>
      </c>
      <c r="T21" s="1">
        <f t="shared" si="1"/>
        <v>2</v>
      </c>
      <c r="U21" s="1">
        <f t="shared" si="2"/>
        <v>2</v>
      </c>
      <c r="V21" s="1" t="s">
        <v>45</v>
      </c>
      <c r="W21" s="1" t="s">
        <v>65</v>
      </c>
      <c r="X21" s="1" t="s">
        <v>36</v>
      </c>
      <c r="Y21" s="1" t="s">
        <v>106</v>
      </c>
      <c r="Z21" s="1" t="s">
        <v>38</v>
      </c>
      <c r="AA21" s="3"/>
    </row>
    <row r="22">
      <c r="A22" s="1" t="s">
        <v>121</v>
      </c>
      <c r="B22" s="1" t="s">
        <v>27</v>
      </c>
      <c r="C22" s="1">
        <v>40.0</v>
      </c>
      <c r="D22" s="1" t="s">
        <v>122</v>
      </c>
      <c r="E22" s="1" t="s">
        <v>50</v>
      </c>
      <c r="F22" s="1" t="s">
        <v>30</v>
      </c>
      <c r="G22" s="1">
        <v>0.0</v>
      </c>
      <c r="H22" s="1">
        <v>49.0</v>
      </c>
      <c r="I22" s="1">
        <v>1.0</v>
      </c>
      <c r="J22" s="1">
        <v>1.0</v>
      </c>
      <c r="K22" s="1" t="s">
        <v>30</v>
      </c>
      <c r="L22" s="1">
        <v>16200.0</v>
      </c>
      <c r="M22" s="1" t="s">
        <v>32</v>
      </c>
      <c r="N22" s="1">
        <v>1.0</v>
      </c>
      <c r="O22" s="4">
        <v>0.0</v>
      </c>
      <c r="P22" s="4">
        <v>0.0</v>
      </c>
      <c r="Q22" s="4">
        <v>0.0</v>
      </c>
      <c r="R22" s="5"/>
      <c r="S22" s="1" t="s">
        <v>33</v>
      </c>
      <c r="T22" s="1">
        <f t="shared" si="1"/>
        <v>2</v>
      </c>
      <c r="U22" s="1">
        <f t="shared" si="2"/>
        <v>3</v>
      </c>
      <c r="V22" s="1" t="s">
        <v>45</v>
      </c>
      <c r="W22" s="1" t="s">
        <v>123</v>
      </c>
      <c r="X22" s="1" t="s">
        <v>36</v>
      </c>
      <c r="Y22" s="1" t="s">
        <v>124</v>
      </c>
      <c r="Z22" s="1" t="s">
        <v>38</v>
      </c>
      <c r="AA22" s="3"/>
    </row>
    <row r="23">
      <c r="A23" s="1" t="s">
        <v>125</v>
      </c>
      <c r="B23" s="1" t="s">
        <v>40</v>
      </c>
      <c r="C23" s="1">
        <v>30.0</v>
      </c>
      <c r="D23" s="1" t="s">
        <v>126</v>
      </c>
      <c r="E23" s="1" t="s">
        <v>127</v>
      </c>
      <c r="F23" s="1" t="s">
        <v>30</v>
      </c>
      <c r="G23" s="1">
        <v>0.0</v>
      </c>
      <c r="H23" s="1">
        <v>7.0</v>
      </c>
      <c r="I23" s="1">
        <v>1.0</v>
      </c>
      <c r="J23" s="1">
        <v>1.0</v>
      </c>
      <c r="K23" s="1" t="s">
        <v>30</v>
      </c>
      <c r="L23" s="1" t="s">
        <v>30</v>
      </c>
      <c r="M23" s="1" t="s">
        <v>32</v>
      </c>
      <c r="N23" s="1">
        <v>0.0</v>
      </c>
      <c r="O23" s="4">
        <v>0.0</v>
      </c>
      <c r="P23" s="4">
        <v>0.0</v>
      </c>
      <c r="Q23" s="4">
        <v>128.0</v>
      </c>
      <c r="R23" s="1" t="s">
        <v>78</v>
      </c>
      <c r="S23" s="1" t="s">
        <v>44</v>
      </c>
      <c r="T23" s="1">
        <f t="shared" si="1"/>
        <v>2</v>
      </c>
      <c r="U23" s="1">
        <f t="shared" si="2"/>
        <v>3</v>
      </c>
      <c r="V23" s="1" t="s">
        <v>45</v>
      </c>
      <c r="W23" s="1" t="s">
        <v>128</v>
      </c>
      <c r="X23" s="1" t="s">
        <v>73</v>
      </c>
      <c r="Y23" s="1" t="s">
        <v>124</v>
      </c>
      <c r="Z23" s="1" t="s">
        <v>56</v>
      </c>
      <c r="AA23" s="3"/>
    </row>
    <row r="24">
      <c r="A24" s="1" t="s">
        <v>129</v>
      </c>
      <c r="B24" s="1" t="s">
        <v>40</v>
      </c>
      <c r="C24" s="1">
        <v>20.0</v>
      </c>
      <c r="D24" s="1" t="s">
        <v>130</v>
      </c>
      <c r="E24" s="1" t="s">
        <v>127</v>
      </c>
      <c r="F24" s="1" t="s">
        <v>30</v>
      </c>
      <c r="G24" s="1">
        <v>0.0</v>
      </c>
      <c r="H24" s="1">
        <v>1.0</v>
      </c>
      <c r="I24" s="1">
        <v>1.0</v>
      </c>
      <c r="J24" s="1">
        <v>1.0</v>
      </c>
      <c r="K24" s="1" t="s">
        <v>30</v>
      </c>
      <c r="L24" s="1" t="s">
        <v>30</v>
      </c>
      <c r="M24" s="1" t="s">
        <v>32</v>
      </c>
      <c r="N24" s="1">
        <v>0.0</v>
      </c>
      <c r="O24" s="4">
        <v>0.0</v>
      </c>
      <c r="P24" s="4">
        <v>0.0</v>
      </c>
      <c r="Q24" s="4">
        <v>0.0</v>
      </c>
      <c r="R24" s="5"/>
      <c r="S24" s="1" t="s">
        <v>33</v>
      </c>
      <c r="T24" s="1">
        <f t="shared" si="1"/>
        <v>2</v>
      </c>
      <c r="U24" s="1">
        <f t="shared" si="2"/>
        <v>3</v>
      </c>
      <c r="V24" s="1" t="s">
        <v>45</v>
      </c>
      <c r="W24" s="1" t="s">
        <v>131</v>
      </c>
      <c r="X24" s="1" t="s">
        <v>61</v>
      </c>
      <c r="Y24" s="1" t="s">
        <v>132</v>
      </c>
      <c r="Z24" s="1" t="s">
        <v>38</v>
      </c>
      <c r="AA24" s="3"/>
    </row>
    <row r="25">
      <c r="A25" s="1" t="s">
        <v>133</v>
      </c>
      <c r="B25" s="1" t="s">
        <v>27</v>
      </c>
      <c r="C25" s="1">
        <v>40.0</v>
      </c>
      <c r="D25" s="1" t="s">
        <v>134</v>
      </c>
      <c r="E25" s="1" t="s">
        <v>118</v>
      </c>
      <c r="F25" s="1" t="s">
        <v>30</v>
      </c>
      <c r="G25" s="1">
        <v>0.0</v>
      </c>
      <c r="H25" s="1">
        <v>7.0</v>
      </c>
      <c r="I25" s="1">
        <v>1.0</v>
      </c>
      <c r="J25" s="1">
        <v>1.0</v>
      </c>
      <c r="K25" s="1" t="s">
        <v>30</v>
      </c>
      <c r="L25" s="1" t="s">
        <v>30</v>
      </c>
      <c r="M25" s="1" t="s">
        <v>32</v>
      </c>
      <c r="N25" s="1">
        <v>0.0</v>
      </c>
      <c r="O25" s="4">
        <v>0.0</v>
      </c>
      <c r="P25" s="4">
        <v>0.0</v>
      </c>
      <c r="Q25" s="4">
        <v>0.0</v>
      </c>
      <c r="R25" s="5"/>
      <c r="S25" s="1" t="s">
        <v>33</v>
      </c>
      <c r="T25" s="1">
        <f t="shared" si="1"/>
        <v>2</v>
      </c>
      <c r="U25" s="1">
        <f t="shared" si="2"/>
        <v>3</v>
      </c>
      <c r="V25" s="1" t="s">
        <v>45</v>
      </c>
      <c r="W25" s="1" t="s">
        <v>135</v>
      </c>
      <c r="X25" s="1" t="s">
        <v>36</v>
      </c>
      <c r="Y25" s="1" t="s">
        <v>136</v>
      </c>
      <c r="Z25" s="1" t="s">
        <v>38</v>
      </c>
      <c r="AA25" s="3"/>
    </row>
    <row r="26">
      <c r="A26" s="1" t="s">
        <v>137</v>
      </c>
      <c r="B26" s="1" t="s">
        <v>27</v>
      </c>
      <c r="C26" s="1">
        <v>40.0</v>
      </c>
      <c r="D26" s="1" t="s">
        <v>138</v>
      </c>
      <c r="E26" s="1" t="s">
        <v>29</v>
      </c>
      <c r="F26" s="1" t="s">
        <v>30</v>
      </c>
      <c r="G26" s="1">
        <v>0.0</v>
      </c>
      <c r="H26" s="1">
        <v>56.0</v>
      </c>
      <c r="I26" s="1">
        <v>6.0</v>
      </c>
      <c r="J26" s="1">
        <v>6.0</v>
      </c>
      <c r="K26" s="1" t="s">
        <v>31</v>
      </c>
      <c r="L26" s="1">
        <v>714.0</v>
      </c>
      <c r="M26" s="1" t="s">
        <v>32</v>
      </c>
      <c r="N26" s="1">
        <v>1.0</v>
      </c>
      <c r="O26" s="4">
        <v>0.0</v>
      </c>
      <c r="P26" s="4">
        <v>0.0</v>
      </c>
      <c r="Q26" s="4">
        <v>0.0</v>
      </c>
      <c r="R26" s="5"/>
      <c r="S26" s="1" t="s">
        <v>33</v>
      </c>
      <c r="T26" s="1">
        <f t="shared" si="1"/>
        <v>1</v>
      </c>
      <c r="U26" s="1">
        <f t="shared" si="2"/>
        <v>3</v>
      </c>
      <c r="V26" s="1" t="s">
        <v>34</v>
      </c>
      <c r="W26" s="1" t="s">
        <v>53</v>
      </c>
      <c r="X26" s="1" t="s">
        <v>36</v>
      </c>
      <c r="Y26" s="1" t="s">
        <v>139</v>
      </c>
      <c r="Z26" s="1" t="s">
        <v>38</v>
      </c>
      <c r="AA26" s="3"/>
    </row>
    <row r="27">
      <c r="A27" s="1" t="s">
        <v>140</v>
      </c>
      <c r="B27" s="1" t="s">
        <v>27</v>
      </c>
      <c r="C27" s="1">
        <v>50.0</v>
      </c>
      <c r="D27" s="1" t="s">
        <v>141</v>
      </c>
      <c r="E27" s="1" t="s">
        <v>50</v>
      </c>
      <c r="F27" s="1" t="s">
        <v>30</v>
      </c>
      <c r="G27" s="1">
        <v>0.0</v>
      </c>
      <c r="H27" s="1">
        <v>15.0</v>
      </c>
      <c r="I27" s="1">
        <v>1.0</v>
      </c>
      <c r="J27" s="1">
        <v>1.0</v>
      </c>
      <c r="K27" s="1" t="s">
        <v>30</v>
      </c>
      <c r="L27" s="1">
        <v>423.0</v>
      </c>
      <c r="M27" s="1" t="s">
        <v>32</v>
      </c>
      <c r="N27" s="1">
        <v>0.0</v>
      </c>
      <c r="O27" s="4">
        <v>0.0</v>
      </c>
      <c r="P27" s="4">
        <v>0.0</v>
      </c>
      <c r="Q27" s="4">
        <v>0.0</v>
      </c>
      <c r="R27" s="5"/>
      <c r="S27" s="1" t="s">
        <v>33</v>
      </c>
      <c r="T27" s="1">
        <f t="shared" si="1"/>
        <v>2</v>
      </c>
      <c r="U27" s="1">
        <f t="shared" si="2"/>
        <v>3</v>
      </c>
      <c r="V27" s="1" t="s">
        <v>34</v>
      </c>
      <c r="W27" s="1" t="s">
        <v>53</v>
      </c>
      <c r="X27" s="1" t="s">
        <v>61</v>
      </c>
      <c r="Y27" s="1" t="s">
        <v>74</v>
      </c>
      <c r="Z27" s="1" t="s">
        <v>38</v>
      </c>
      <c r="AA27" s="3"/>
    </row>
    <row r="28">
      <c r="A28" s="1" t="s">
        <v>142</v>
      </c>
      <c r="B28" s="1" t="s">
        <v>27</v>
      </c>
      <c r="C28" s="1">
        <v>20.0</v>
      </c>
      <c r="D28" s="1" t="s">
        <v>143</v>
      </c>
      <c r="E28" s="1" t="s">
        <v>29</v>
      </c>
      <c r="F28" s="1" t="s">
        <v>30</v>
      </c>
      <c r="G28" s="1">
        <v>0.0</v>
      </c>
      <c r="H28" s="1">
        <v>666.0</v>
      </c>
      <c r="I28" s="1">
        <v>5.0</v>
      </c>
      <c r="J28" s="1">
        <v>4.0</v>
      </c>
      <c r="K28" s="1" t="s">
        <v>30</v>
      </c>
      <c r="L28" s="1" t="s">
        <v>30</v>
      </c>
      <c r="M28" s="1" t="s">
        <v>32</v>
      </c>
      <c r="N28" s="1">
        <v>0.0</v>
      </c>
      <c r="O28" s="4">
        <v>0.0</v>
      </c>
      <c r="P28" s="4">
        <v>0.0</v>
      </c>
      <c r="Q28" s="4">
        <v>0.0</v>
      </c>
      <c r="R28" s="5"/>
      <c r="S28" s="1" t="s">
        <v>33</v>
      </c>
      <c r="T28" s="1">
        <f t="shared" si="1"/>
        <v>1</v>
      </c>
      <c r="U28" s="1">
        <f t="shared" si="2"/>
        <v>3</v>
      </c>
      <c r="V28" s="1" t="s">
        <v>34</v>
      </c>
      <c r="W28" s="1" t="s">
        <v>65</v>
      </c>
      <c r="X28" s="1" t="s">
        <v>73</v>
      </c>
      <c r="Y28" s="1" t="s">
        <v>113</v>
      </c>
      <c r="Z28" s="1" t="s">
        <v>75</v>
      </c>
      <c r="AA28" s="3"/>
    </row>
    <row r="29">
      <c r="A29" s="1" t="s">
        <v>144</v>
      </c>
      <c r="B29" s="1" t="s">
        <v>40</v>
      </c>
      <c r="C29" s="1">
        <v>30.0</v>
      </c>
      <c r="D29" s="1" t="s">
        <v>145</v>
      </c>
      <c r="E29" s="1" t="s">
        <v>59</v>
      </c>
      <c r="F29" s="1" t="s">
        <v>30</v>
      </c>
      <c r="G29" s="1">
        <v>0.0</v>
      </c>
      <c r="H29" s="1">
        <v>86.0</v>
      </c>
      <c r="I29" s="1">
        <v>6.0</v>
      </c>
      <c r="J29" s="1">
        <v>4.0</v>
      </c>
      <c r="K29" s="1" t="s">
        <v>30</v>
      </c>
      <c r="L29" s="1" t="s">
        <v>30</v>
      </c>
      <c r="M29" s="1" t="s">
        <v>32</v>
      </c>
      <c r="N29" s="1">
        <v>0.0</v>
      </c>
      <c r="O29" s="4">
        <v>0.0</v>
      </c>
      <c r="P29" s="4">
        <v>0.0</v>
      </c>
      <c r="Q29" s="4">
        <v>0.0</v>
      </c>
      <c r="R29" s="5"/>
      <c r="S29" s="1" t="s">
        <v>33</v>
      </c>
      <c r="T29" s="1">
        <f t="shared" si="1"/>
        <v>1</v>
      </c>
      <c r="U29" s="1">
        <f t="shared" si="2"/>
        <v>3</v>
      </c>
      <c r="V29" s="1" t="s">
        <v>34</v>
      </c>
      <c r="W29" s="1" t="s">
        <v>65</v>
      </c>
      <c r="X29" s="1" t="s">
        <v>36</v>
      </c>
      <c r="Y29" s="1" t="s">
        <v>113</v>
      </c>
      <c r="Z29" s="1" t="s">
        <v>146</v>
      </c>
      <c r="AA29" s="3"/>
    </row>
    <row r="30">
      <c r="A30" s="1" t="s">
        <v>147</v>
      </c>
      <c r="B30" s="1" t="s">
        <v>40</v>
      </c>
      <c r="C30" s="1">
        <v>30.0</v>
      </c>
      <c r="D30" s="1" t="s">
        <v>148</v>
      </c>
      <c r="E30" s="1" t="s">
        <v>29</v>
      </c>
      <c r="F30" s="1" t="s">
        <v>30</v>
      </c>
      <c r="G30" s="1">
        <v>0.0</v>
      </c>
      <c r="H30" s="1">
        <v>19.0</v>
      </c>
      <c r="I30" s="1">
        <v>1.0</v>
      </c>
      <c r="J30" s="1">
        <v>1.0</v>
      </c>
      <c r="K30" s="1" t="s">
        <v>30</v>
      </c>
      <c r="L30" s="1" t="s">
        <v>30</v>
      </c>
      <c r="M30" s="1" t="s">
        <v>32</v>
      </c>
      <c r="N30" s="1">
        <v>1.0</v>
      </c>
      <c r="O30" s="4">
        <v>0.0</v>
      </c>
      <c r="P30" s="4">
        <v>0.0</v>
      </c>
      <c r="Q30" s="4">
        <v>0.0</v>
      </c>
      <c r="R30" s="5"/>
      <c r="S30" s="1" t="s">
        <v>33</v>
      </c>
      <c r="T30" s="1">
        <f t="shared" si="1"/>
        <v>2</v>
      </c>
      <c r="U30" s="1">
        <f t="shared" si="2"/>
        <v>3</v>
      </c>
      <c r="V30" s="1" t="s">
        <v>34</v>
      </c>
      <c r="W30" s="1" t="s">
        <v>123</v>
      </c>
      <c r="X30" s="1" t="s">
        <v>36</v>
      </c>
      <c r="Y30" s="1" t="s">
        <v>149</v>
      </c>
      <c r="Z30" s="1" t="s">
        <v>38</v>
      </c>
      <c r="AA30" s="3"/>
    </row>
    <row r="31">
      <c r="A31" s="1" t="s">
        <v>150</v>
      </c>
      <c r="B31" s="1" t="s">
        <v>27</v>
      </c>
      <c r="C31" s="1">
        <v>30.0</v>
      </c>
      <c r="D31" s="1" t="s">
        <v>151</v>
      </c>
      <c r="E31" s="1" t="s">
        <v>59</v>
      </c>
      <c r="F31" s="1" t="s">
        <v>152</v>
      </c>
      <c r="G31" s="1">
        <v>0.0</v>
      </c>
      <c r="H31" s="1">
        <v>4.0</v>
      </c>
      <c r="I31" s="1">
        <v>1.0</v>
      </c>
      <c r="J31" s="1">
        <v>1.0</v>
      </c>
      <c r="K31" s="1" t="s">
        <v>42</v>
      </c>
      <c r="L31" s="1" t="s">
        <v>30</v>
      </c>
      <c r="M31" s="1" t="s">
        <v>32</v>
      </c>
      <c r="N31" s="1">
        <v>0.0</v>
      </c>
      <c r="O31" s="4">
        <v>108.0</v>
      </c>
      <c r="P31" s="4">
        <v>0.0</v>
      </c>
      <c r="Q31" s="4">
        <v>0.0</v>
      </c>
      <c r="R31" s="5"/>
      <c r="S31" s="1" t="s">
        <v>52</v>
      </c>
      <c r="T31" s="1">
        <f t="shared" si="1"/>
        <v>2</v>
      </c>
      <c r="U31" s="1">
        <f t="shared" si="2"/>
        <v>1</v>
      </c>
      <c r="V31" s="1" t="s">
        <v>45</v>
      </c>
      <c r="W31" s="1" t="s">
        <v>153</v>
      </c>
      <c r="X31" s="1" t="s">
        <v>36</v>
      </c>
      <c r="Y31" s="1" t="s">
        <v>124</v>
      </c>
      <c r="Z31" s="1" t="s">
        <v>154</v>
      </c>
      <c r="AA31" s="3"/>
    </row>
    <row r="32">
      <c r="A32" s="1" t="s">
        <v>155</v>
      </c>
      <c r="B32" s="1" t="s">
        <v>27</v>
      </c>
      <c r="C32" s="1">
        <v>20.0</v>
      </c>
      <c r="D32" s="1" t="s">
        <v>156</v>
      </c>
      <c r="E32" s="1" t="s">
        <v>59</v>
      </c>
      <c r="F32" s="2" t="s">
        <v>157</v>
      </c>
      <c r="G32" s="1">
        <v>2.0</v>
      </c>
      <c r="H32" s="1">
        <v>18.0</v>
      </c>
      <c r="I32" s="1">
        <v>1.0</v>
      </c>
      <c r="J32" s="1">
        <v>1.0</v>
      </c>
      <c r="K32" s="1" t="s">
        <v>42</v>
      </c>
      <c r="L32" s="1">
        <v>11200.0</v>
      </c>
      <c r="M32" s="1" t="s">
        <v>32</v>
      </c>
      <c r="N32" s="1">
        <v>1.0</v>
      </c>
      <c r="O32" s="4">
        <v>83.3</v>
      </c>
      <c r="P32" s="4">
        <v>0.0</v>
      </c>
      <c r="Q32" s="4">
        <v>14.7</v>
      </c>
      <c r="R32" s="1" t="s">
        <v>158</v>
      </c>
      <c r="S32" s="1" t="s">
        <v>72</v>
      </c>
      <c r="T32" s="1">
        <f t="shared" si="1"/>
        <v>2</v>
      </c>
      <c r="U32" s="1">
        <f t="shared" si="2"/>
        <v>2</v>
      </c>
      <c r="V32" s="1" t="s">
        <v>45</v>
      </c>
      <c r="W32" s="1" t="s">
        <v>159</v>
      </c>
      <c r="X32" s="1" t="s">
        <v>36</v>
      </c>
      <c r="Y32" s="1" t="s">
        <v>160</v>
      </c>
      <c r="Z32" s="1" t="s">
        <v>38</v>
      </c>
      <c r="AA32" s="3"/>
    </row>
    <row r="33">
      <c r="A33" s="1" t="s">
        <v>161</v>
      </c>
      <c r="B33" s="1" t="s">
        <v>27</v>
      </c>
      <c r="C33" s="1">
        <v>30.0</v>
      </c>
      <c r="D33" s="1" t="s">
        <v>162</v>
      </c>
      <c r="E33" s="1" t="s">
        <v>29</v>
      </c>
      <c r="F33" s="1" t="s">
        <v>30</v>
      </c>
      <c r="G33" s="1">
        <v>0.0</v>
      </c>
      <c r="H33" s="1">
        <v>98.0</v>
      </c>
      <c r="I33" s="1">
        <v>2.0</v>
      </c>
      <c r="J33" s="1">
        <v>2.0</v>
      </c>
      <c r="K33" s="1" t="s">
        <v>30</v>
      </c>
      <c r="L33" s="1">
        <v>301.0</v>
      </c>
      <c r="M33" s="1" t="s">
        <v>32</v>
      </c>
      <c r="N33" s="1">
        <v>1.0</v>
      </c>
      <c r="O33" s="4">
        <v>0.0</v>
      </c>
      <c r="P33" s="4">
        <v>0.0</v>
      </c>
      <c r="Q33" s="4">
        <v>128.0</v>
      </c>
      <c r="R33" s="1" t="s">
        <v>78</v>
      </c>
      <c r="S33" s="1" t="s">
        <v>44</v>
      </c>
      <c r="T33" s="1">
        <f t="shared" si="1"/>
        <v>2</v>
      </c>
      <c r="U33" s="1">
        <f t="shared" si="2"/>
        <v>3</v>
      </c>
      <c r="V33" s="1" t="s">
        <v>34</v>
      </c>
      <c r="W33" s="1" t="s">
        <v>65</v>
      </c>
      <c r="X33" s="1" t="s">
        <v>36</v>
      </c>
      <c r="Y33" s="1" t="s">
        <v>74</v>
      </c>
      <c r="Z33" s="1" t="s">
        <v>38</v>
      </c>
      <c r="AA33" s="3"/>
    </row>
    <row r="34">
      <c r="A34" s="1" t="s">
        <v>163</v>
      </c>
      <c r="B34" s="1" t="s">
        <v>40</v>
      </c>
      <c r="C34" s="1">
        <v>20.0</v>
      </c>
      <c r="D34" s="1" t="s">
        <v>164</v>
      </c>
      <c r="E34" s="1" t="s">
        <v>29</v>
      </c>
      <c r="F34" s="1" t="s">
        <v>30</v>
      </c>
      <c r="G34" s="1">
        <v>4.0</v>
      </c>
      <c r="H34" s="1">
        <v>1936.0</v>
      </c>
      <c r="I34" s="1">
        <v>1.0</v>
      </c>
      <c r="J34" s="1">
        <v>1.0</v>
      </c>
      <c r="K34" s="1" t="s">
        <v>30</v>
      </c>
      <c r="L34" s="1">
        <v>4057.0</v>
      </c>
      <c r="M34" s="1" t="s">
        <v>32</v>
      </c>
      <c r="N34" s="1">
        <v>0.0</v>
      </c>
      <c r="O34" s="4">
        <v>0.0</v>
      </c>
      <c r="P34" s="4">
        <v>0.0</v>
      </c>
      <c r="Q34" s="4">
        <v>128.0</v>
      </c>
      <c r="R34" s="1" t="s">
        <v>78</v>
      </c>
      <c r="S34" s="1" t="s">
        <v>44</v>
      </c>
      <c r="T34" s="1">
        <f t="shared" si="1"/>
        <v>2</v>
      </c>
      <c r="U34" s="1">
        <f t="shared" si="2"/>
        <v>3</v>
      </c>
      <c r="V34" s="1" t="s">
        <v>45</v>
      </c>
      <c r="W34" s="1" t="s">
        <v>135</v>
      </c>
      <c r="X34" s="1" t="s">
        <v>61</v>
      </c>
      <c r="Y34" s="1" t="s">
        <v>149</v>
      </c>
      <c r="Z34" s="1" t="s">
        <v>56</v>
      </c>
      <c r="AA34" s="3"/>
    </row>
    <row r="35">
      <c r="A35" s="1" t="s">
        <v>165</v>
      </c>
      <c r="B35" s="1" t="s">
        <v>27</v>
      </c>
      <c r="C35" s="1">
        <v>30.0</v>
      </c>
      <c r="D35" s="1" t="s">
        <v>166</v>
      </c>
      <c r="E35" s="1" t="s">
        <v>50</v>
      </c>
      <c r="F35" s="1" t="s">
        <v>30</v>
      </c>
      <c r="G35" s="1">
        <v>0.0</v>
      </c>
      <c r="H35" s="1">
        <v>30.0</v>
      </c>
      <c r="I35" s="1">
        <v>1.0</v>
      </c>
      <c r="J35" s="1">
        <v>1.0</v>
      </c>
      <c r="K35" s="1" t="s">
        <v>42</v>
      </c>
      <c r="L35" s="1" t="s">
        <v>30</v>
      </c>
      <c r="M35" s="1" t="s">
        <v>32</v>
      </c>
      <c r="N35" s="1">
        <v>0.0</v>
      </c>
      <c r="O35" s="4">
        <v>0.0</v>
      </c>
      <c r="P35" s="4">
        <v>0.0</v>
      </c>
      <c r="Q35" s="4">
        <v>0.0</v>
      </c>
      <c r="R35" s="5"/>
      <c r="S35" s="1" t="s">
        <v>33</v>
      </c>
      <c r="T35" s="1">
        <f t="shared" si="1"/>
        <v>2</v>
      </c>
      <c r="U35" s="1">
        <f t="shared" si="2"/>
        <v>3</v>
      </c>
      <c r="V35" s="1" t="s">
        <v>45</v>
      </c>
      <c r="W35" s="1" t="s">
        <v>84</v>
      </c>
      <c r="X35" s="1" t="s">
        <v>36</v>
      </c>
      <c r="Y35" s="1" t="s">
        <v>101</v>
      </c>
      <c r="Z35" s="1" t="s">
        <v>75</v>
      </c>
      <c r="AA35" s="3"/>
    </row>
    <row r="36">
      <c r="A36" s="1" t="s">
        <v>167</v>
      </c>
      <c r="B36" s="1" t="s">
        <v>27</v>
      </c>
      <c r="C36" s="1">
        <v>30.0</v>
      </c>
      <c r="D36" s="1" t="s">
        <v>168</v>
      </c>
      <c r="E36" s="1" t="s">
        <v>29</v>
      </c>
      <c r="F36" s="1" t="s">
        <v>30</v>
      </c>
      <c r="G36" s="1">
        <v>0.0</v>
      </c>
      <c r="H36" s="1">
        <v>1.0</v>
      </c>
      <c r="I36" s="1">
        <v>1.0</v>
      </c>
      <c r="J36" s="1">
        <v>1.0</v>
      </c>
      <c r="K36" s="1" t="s">
        <v>30</v>
      </c>
      <c r="L36" s="1" t="s">
        <v>30</v>
      </c>
      <c r="M36" s="1" t="s">
        <v>32</v>
      </c>
      <c r="N36" s="1">
        <v>0.0</v>
      </c>
      <c r="O36" s="4">
        <v>0.0</v>
      </c>
      <c r="P36" s="4">
        <v>0.0</v>
      </c>
      <c r="Q36" s="4">
        <v>128.0</v>
      </c>
      <c r="R36" s="1" t="s">
        <v>78</v>
      </c>
      <c r="S36" s="1" t="s">
        <v>44</v>
      </c>
      <c r="T36" s="1">
        <f t="shared" si="1"/>
        <v>2</v>
      </c>
      <c r="U36" s="1">
        <f t="shared" si="2"/>
        <v>3</v>
      </c>
      <c r="V36" s="1" t="s">
        <v>45</v>
      </c>
      <c r="W36" s="1" t="s">
        <v>53</v>
      </c>
      <c r="X36" s="1" t="s">
        <v>61</v>
      </c>
      <c r="Y36" s="1" t="s">
        <v>113</v>
      </c>
      <c r="Z36" s="1" t="s">
        <v>75</v>
      </c>
      <c r="AA36" s="3"/>
    </row>
    <row r="37">
      <c r="A37" s="1" t="s">
        <v>169</v>
      </c>
      <c r="B37" s="1" t="s">
        <v>40</v>
      </c>
      <c r="C37" s="1">
        <v>40.0</v>
      </c>
      <c r="D37" s="1" t="s">
        <v>170</v>
      </c>
      <c r="E37" s="1" t="s">
        <v>29</v>
      </c>
      <c r="F37" s="1" t="s">
        <v>30</v>
      </c>
      <c r="G37" s="1">
        <v>0.0</v>
      </c>
      <c r="H37" s="1">
        <v>46.0</v>
      </c>
      <c r="I37" s="1">
        <v>1.0</v>
      </c>
      <c r="J37" s="1">
        <v>1.0</v>
      </c>
      <c r="K37" s="1" t="s">
        <v>30</v>
      </c>
      <c r="L37" s="1" t="s">
        <v>30</v>
      </c>
      <c r="M37" s="1" t="s">
        <v>32</v>
      </c>
      <c r="N37" s="1">
        <v>0.0</v>
      </c>
      <c r="O37" s="4">
        <v>0.0</v>
      </c>
      <c r="P37" s="4">
        <v>0.0</v>
      </c>
      <c r="Q37" s="4">
        <v>0.0</v>
      </c>
      <c r="R37" s="5"/>
      <c r="S37" s="1" t="s">
        <v>33</v>
      </c>
      <c r="T37" s="1">
        <f t="shared" si="1"/>
        <v>2</v>
      </c>
      <c r="U37" s="1">
        <f t="shared" si="2"/>
        <v>3</v>
      </c>
      <c r="V37" s="1" t="s">
        <v>34</v>
      </c>
      <c r="W37" s="1" t="s">
        <v>53</v>
      </c>
      <c r="X37" s="1" t="s">
        <v>36</v>
      </c>
      <c r="Y37" s="1" t="s">
        <v>171</v>
      </c>
      <c r="Z37" s="1" t="s">
        <v>75</v>
      </c>
      <c r="AA37" s="3"/>
    </row>
    <row r="38">
      <c r="A38" s="1" t="s">
        <v>172</v>
      </c>
      <c r="B38" s="1" t="s">
        <v>40</v>
      </c>
      <c r="C38" s="1">
        <v>20.0</v>
      </c>
      <c r="D38" s="1" t="s">
        <v>173</v>
      </c>
      <c r="E38" s="1" t="s">
        <v>59</v>
      </c>
      <c r="F38" s="1" t="s">
        <v>30</v>
      </c>
      <c r="G38" s="1">
        <v>0.0</v>
      </c>
      <c r="H38" s="1">
        <v>38.0</v>
      </c>
      <c r="I38" s="1">
        <v>7.0</v>
      </c>
      <c r="J38" s="1">
        <v>6.0</v>
      </c>
      <c r="K38" s="1" t="s">
        <v>30</v>
      </c>
      <c r="L38" s="1" t="s">
        <v>30</v>
      </c>
      <c r="M38" s="1" t="s">
        <v>32</v>
      </c>
      <c r="N38" s="1">
        <v>1.0</v>
      </c>
      <c r="O38" s="4">
        <v>0.0</v>
      </c>
      <c r="P38" s="4">
        <v>0.0</v>
      </c>
      <c r="Q38" s="4">
        <v>0.0</v>
      </c>
      <c r="R38" s="5"/>
      <c r="S38" s="1" t="s">
        <v>33</v>
      </c>
      <c r="T38" s="1">
        <f t="shared" si="1"/>
        <v>1</v>
      </c>
      <c r="U38" s="1">
        <f t="shared" si="2"/>
        <v>3</v>
      </c>
      <c r="V38" s="1" t="s">
        <v>34</v>
      </c>
      <c r="W38" s="1" t="s">
        <v>65</v>
      </c>
      <c r="X38" s="1" t="s">
        <v>36</v>
      </c>
      <c r="Y38" s="1" t="s">
        <v>74</v>
      </c>
      <c r="Z38" s="1" t="s">
        <v>38</v>
      </c>
      <c r="AA38" s="3"/>
    </row>
    <row r="39">
      <c r="A39" s="1" t="s">
        <v>174</v>
      </c>
      <c r="B39" s="1" t="s">
        <v>40</v>
      </c>
      <c r="C39" s="1">
        <v>50.0</v>
      </c>
      <c r="D39" s="1" t="s">
        <v>175</v>
      </c>
      <c r="E39" s="1" t="s">
        <v>29</v>
      </c>
      <c r="F39" s="1" t="s">
        <v>30</v>
      </c>
      <c r="G39" s="1">
        <v>7.0</v>
      </c>
      <c r="H39" s="1">
        <v>37.0</v>
      </c>
      <c r="I39" s="1">
        <v>2.0</v>
      </c>
      <c r="J39" s="1">
        <v>2.0</v>
      </c>
      <c r="K39" s="1" t="s">
        <v>30</v>
      </c>
      <c r="L39" s="1" t="s">
        <v>30</v>
      </c>
      <c r="M39" s="1" t="s">
        <v>32</v>
      </c>
      <c r="N39" s="1">
        <v>1.0</v>
      </c>
      <c r="O39" s="4">
        <v>0.0</v>
      </c>
      <c r="P39" s="4">
        <v>0.0</v>
      </c>
      <c r="Q39" s="4">
        <v>0.0</v>
      </c>
      <c r="R39" s="5"/>
      <c r="S39" s="1" t="s">
        <v>33</v>
      </c>
      <c r="T39" s="1">
        <f t="shared" si="1"/>
        <v>2</v>
      </c>
      <c r="U39" s="1">
        <f t="shared" si="2"/>
        <v>3</v>
      </c>
      <c r="V39" s="1" t="s">
        <v>34</v>
      </c>
      <c r="W39" s="1" t="s">
        <v>65</v>
      </c>
      <c r="X39" s="1" t="s">
        <v>61</v>
      </c>
      <c r="Y39" s="1" t="s">
        <v>176</v>
      </c>
      <c r="Z39" s="1" t="s">
        <v>177</v>
      </c>
      <c r="AA39" s="3"/>
    </row>
    <row r="40">
      <c r="A40" s="1" t="s">
        <v>178</v>
      </c>
      <c r="B40" s="1" t="s">
        <v>27</v>
      </c>
      <c r="C40" s="1">
        <v>30.0</v>
      </c>
      <c r="D40" s="1" t="s">
        <v>179</v>
      </c>
      <c r="E40" s="1" t="s">
        <v>29</v>
      </c>
      <c r="F40" s="1" t="s">
        <v>30</v>
      </c>
      <c r="G40" s="1">
        <v>0.0</v>
      </c>
      <c r="H40" s="1">
        <v>5.0</v>
      </c>
      <c r="I40" s="1">
        <v>1.0</v>
      </c>
      <c r="J40" s="1">
        <v>1.0</v>
      </c>
      <c r="K40" s="1" t="s">
        <v>30</v>
      </c>
      <c r="L40" s="1">
        <v>55400.0</v>
      </c>
      <c r="M40" s="1" t="s">
        <v>32</v>
      </c>
      <c r="N40" s="1">
        <v>0.0</v>
      </c>
      <c r="O40" s="4">
        <v>108.0</v>
      </c>
      <c r="P40" s="4">
        <v>0.0</v>
      </c>
      <c r="Q40" s="4">
        <v>0.0</v>
      </c>
      <c r="R40" s="5"/>
      <c r="S40" s="1" t="s">
        <v>52</v>
      </c>
      <c r="T40" s="1">
        <f t="shared" si="1"/>
        <v>2</v>
      </c>
      <c r="U40" s="1">
        <f t="shared" si="2"/>
        <v>1</v>
      </c>
      <c r="V40" s="1" t="s">
        <v>45</v>
      </c>
      <c r="W40" s="1" t="s">
        <v>180</v>
      </c>
      <c r="X40" s="1" t="s">
        <v>61</v>
      </c>
      <c r="Y40" s="1" t="s">
        <v>74</v>
      </c>
      <c r="Z40" s="1" t="s">
        <v>38</v>
      </c>
      <c r="AA40" s="3"/>
    </row>
    <row r="41">
      <c r="A41" s="1" t="s">
        <v>181</v>
      </c>
      <c r="B41" s="1" t="s">
        <v>27</v>
      </c>
      <c r="C41" s="1">
        <v>50.0</v>
      </c>
      <c r="D41" s="1" t="s">
        <v>182</v>
      </c>
      <c r="E41" s="1" t="s">
        <v>29</v>
      </c>
      <c r="F41" s="1" t="s">
        <v>30</v>
      </c>
      <c r="G41" s="1">
        <v>0.0</v>
      </c>
      <c r="H41" s="1">
        <v>4.0</v>
      </c>
      <c r="I41" s="1">
        <v>1.0</v>
      </c>
      <c r="J41" s="1">
        <v>1.0</v>
      </c>
      <c r="K41" s="1" t="s">
        <v>42</v>
      </c>
      <c r="L41" s="1" t="s">
        <v>30</v>
      </c>
      <c r="M41" s="1" t="s">
        <v>32</v>
      </c>
      <c r="N41" s="1">
        <v>1.0</v>
      </c>
      <c r="O41" s="4">
        <v>108.0</v>
      </c>
      <c r="P41" s="4">
        <v>0.0</v>
      </c>
      <c r="Q41" s="4">
        <v>0.0</v>
      </c>
      <c r="R41" s="5"/>
      <c r="S41" s="1" t="s">
        <v>52</v>
      </c>
      <c r="T41" s="1">
        <f t="shared" si="1"/>
        <v>2</v>
      </c>
      <c r="U41" s="1">
        <f t="shared" si="2"/>
        <v>1</v>
      </c>
      <c r="V41" s="1" t="s">
        <v>45</v>
      </c>
      <c r="W41" s="1" t="s">
        <v>128</v>
      </c>
      <c r="X41" s="1" t="s">
        <v>36</v>
      </c>
      <c r="Y41" s="1" t="s">
        <v>74</v>
      </c>
      <c r="Z41" s="1" t="s">
        <v>38</v>
      </c>
      <c r="AA41" s="3"/>
    </row>
    <row r="42">
      <c r="A42" s="1" t="s">
        <v>183</v>
      </c>
      <c r="B42" s="1" t="s">
        <v>40</v>
      </c>
      <c r="C42" s="1">
        <v>30.0</v>
      </c>
      <c r="D42" s="1" t="s">
        <v>184</v>
      </c>
      <c r="E42" s="1" t="s">
        <v>29</v>
      </c>
      <c r="F42" s="1" t="s">
        <v>30</v>
      </c>
      <c r="G42" s="1">
        <v>0.0</v>
      </c>
      <c r="H42" s="1">
        <v>176.0</v>
      </c>
      <c r="I42" s="1">
        <v>2.0</v>
      </c>
      <c r="J42" s="1">
        <v>2.0</v>
      </c>
      <c r="K42" s="1" t="s">
        <v>42</v>
      </c>
      <c r="L42" s="1">
        <v>308.0</v>
      </c>
      <c r="M42" s="1" t="s">
        <v>32</v>
      </c>
      <c r="N42" s="1">
        <v>1.0</v>
      </c>
      <c r="O42" s="4">
        <v>0.0</v>
      </c>
      <c r="P42" s="4">
        <v>0.0</v>
      </c>
      <c r="Q42" s="4">
        <v>108.0</v>
      </c>
      <c r="R42" s="1" t="s">
        <v>78</v>
      </c>
      <c r="S42" s="1" t="s">
        <v>52</v>
      </c>
      <c r="T42" s="1">
        <f t="shared" si="1"/>
        <v>2</v>
      </c>
      <c r="U42" s="1">
        <f t="shared" si="2"/>
        <v>3</v>
      </c>
      <c r="V42" s="1" t="s">
        <v>45</v>
      </c>
      <c r="W42" s="1" t="s">
        <v>53</v>
      </c>
      <c r="X42" s="1" t="s">
        <v>36</v>
      </c>
      <c r="Y42" s="1" t="s">
        <v>82</v>
      </c>
      <c r="Z42" s="1" t="s">
        <v>75</v>
      </c>
      <c r="AA42" s="3"/>
    </row>
    <row r="43">
      <c r="A43" s="1" t="s">
        <v>185</v>
      </c>
      <c r="B43" s="1" t="s">
        <v>27</v>
      </c>
      <c r="C43" s="1">
        <v>20.0</v>
      </c>
      <c r="D43" s="1" t="s">
        <v>186</v>
      </c>
      <c r="E43" s="1" t="s">
        <v>50</v>
      </c>
      <c r="F43" s="1" t="s">
        <v>30</v>
      </c>
      <c r="G43" s="1">
        <v>4.0</v>
      </c>
      <c r="H43" s="1">
        <v>53.0</v>
      </c>
      <c r="I43" s="1">
        <v>0.0</v>
      </c>
      <c r="J43" s="1">
        <v>0.0</v>
      </c>
      <c r="K43" s="1" t="s">
        <v>42</v>
      </c>
      <c r="L43" s="1" t="s">
        <v>30</v>
      </c>
      <c r="M43" s="1" t="s">
        <v>187</v>
      </c>
      <c r="N43" s="1">
        <v>0.0</v>
      </c>
      <c r="O43" s="6" t="s">
        <v>30</v>
      </c>
      <c r="P43" s="6" t="s">
        <v>30</v>
      </c>
      <c r="Q43" s="6" t="s">
        <v>30</v>
      </c>
      <c r="R43" s="6" t="s">
        <v>30</v>
      </c>
      <c r="S43" s="5"/>
      <c r="T43" s="1">
        <f t="shared" si="1"/>
        <v>3</v>
      </c>
      <c r="U43" s="1">
        <f t="shared" si="2"/>
        <v>2</v>
      </c>
      <c r="V43" s="5"/>
      <c r="W43" s="5"/>
      <c r="X43" s="5"/>
      <c r="Y43" s="5"/>
      <c r="Z43" s="5"/>
      <c r="AA43" s="3"/>
    </row>
    <row r="44">
      <c r="A44" s="1" t="s">
        <v>188</v>
      </c>
      <c r="B44" s="1" t="s">
        <v>27</v>
      </c>
      <c r="C44" s="1">
        <v>50.0</v>
      </c>
      <c r="D44" s="1" t="s">
        <v>189</v>
      </c>
      <c r="E44" s="1" t="s">
        <v>82</v>
      </c>
      <c r="F44" s="1" t="s">
        <v>190</v>
      </c>
      <c r="G44" s="1">
        <v>0.0</v>
      </c>
      <c r="H44" s="1">
        <v>196.0</v>
      </c>
      <c r="I44" s="1">
        <v>0.0</v>
      </c>
      <c r="J44" s="1">
        <v>0.0</v>
      </c>
      <c r="K44" s="1" t="s">
        <v>30</v>
      </c>
      <c r="L44" s="1">
        <v>15.0</v>
      </c>
      <c r="M44" s="1" t="s">
        <v>187</v>
      </c>
      <c r="N44" s="1">
        <v>0.0</v>
      </c>
      <c r="O44" s="6" t="s">
        <v>30</v>
      </c>
      <c r="P44" s="6" t="s">
        <v>30</v>
      </c>
      <c r="Q44" s="6" t="s">
        <v>30</v>
      </c>
      <c r="R44" s="6" t="s">
        <v>30</v>
      </c>
      <c r="S44" s="5"/>
      <c r="T44" s="1">
        <f t="shared" si="1"/>
        <v>3</v>
      </c>
      <c r="U44" s="1">
        <f t="shared" si="2"/>
        <v>2</v>
      </c>
      <c r="V44" s="5"/>
      <c r="W44" s="5"/>
      <c r="X44" s="5"/>
      <c r="Y44" s="5"/>
      <c r="Z44" s="5"/>
      <c r="AA44" s="3"/>
    </row>
    <row r="45">
      <c r="A45" s="1" t="s">
        <v>191</v>
      </c>
      <c r="B45" s="1" t="s">
        <v>27</v>
      </c>
      <c r="C45" s="1">
        <v>30.0</v>
      </c>
      <c r="D45" s="1" t="s">
        <v>192</v>
      </c>
      <c r="E45" s="1" t="s">
        <v>29</v>
      </c>
      <c r="F45" s="1" t="s">
        <v>30</v>
      </c>
      <c r="G45" s="1">
        <v>4.0</v>
      </c>
      <c r="H45" s="1">
        <v>48.0</v>
      </c>
      <c r="I45" s="1">
        <v>1.0</v>
      </c>
      <c r="J45" s="1">
        <v>1.0</v>
      </c>
      <c r="K45" s="1" t="s">
        <v>30</v>
      </c>
      <c r="L45" s="1" t="s">
        <v>30</v>
      </c>
      <c r="M45" s="1" t="s">
        <v>187</v>
      </c>
      <c r="N45" s="1">
        <v>0.0</v>
      </c>
      <c r="O45" s="6" t="s">
        <v>30</v>
      </c>
      <c r="P45" s="6" t="s">
        <v>30</v>
      </c>
      <c r="Q45" s="6" t="s">
        <v>30</v>
      </c>
      <c r="R45" s="6" t="s">
        <v>30</v>
      </c>
      <c r="S45" s="5"/>
      <c r="T45" s="1">
        <f t="shared" si="1"/>
        <v>2</v>
      </c>
      <c r="U45" s="1">
        <f t="shared" si="2"/>
        <v>2</v>
      </c>
      <c r="V45" s="1" t="s">
        <v>34</v>
      </c>
      <c r="W45" s="1" t="s">
        <v>123</v>
      </c>
      <c r="X45" s="1" t="s">
        <v>36</v>
      </c>
      <c r="Y45" s="1" t="s">
        <v>74</v>
      </c>
      <c r="Z45" s="1" t="s">
        <v>38</v>
      </c>
      <c r="AA45" s="3"/>
    </row>
    <row r="46">
      <c r="A46" s="1" t="s">
        <v>193</v>
      </c>
      <c r="B46" s="1" t="s">
        <v>27</v>
      </c>
      <c r="C46" s="1">
        <v>30.0</v>
      </c>
      <c r="D46" s="1" t="s">
        <v>194</v>
      </c>
      <c r="E46" s="1" t="s">
        <v>29</v>
      </c>
      <c r="F46" s="1" t="s">
        <v>30</v>
      </c>
      <c r="G46" s="1">
        <v>39.0</v>
      </c>
      <c r="H46" s="1">
        <v>1939.0</v>
      </c>
      <c r="I46" s="1">
        <v>2.0</v>
      </c>
      <c r="J46" s="1">
        <v>1.0</v>
      </c>
      <c r="K46" s="1" t="s">
        <v>30</v>
      </c>
      <c r="L46" s="1" t="s">
        <v>30</v>
      </c>
      <c r="M46" s="1" t="s">
        <v>187</v>
      </c>
      <c r="N46" s="1">
        <v>0.0</v>
      </c>
      <c r="O46" s="6" t="s">
        <v>30</v>
      </c>
      <c r="P46" s="6" t="s">
        <v>30</v>
      </c>
      <c r="Q46" s="6" t="s">
        <v>30</v>
      </c>
      <c r="R46" s="6" t="s">
        <v>30</v>
      </c>
      <c r="S46" s="5"/>
      <c r="T46" s="1">
        <f t="shared" si="1"/>
        <v>2</v>
      </c>
      <c r="U46" s="1">
        <f t="shared" si="2"/>
        <v>2</v>
      </c>
      <c r="V46" s="5"/>
      <c r="W46" s="5"/>
      <c r="X46" s="5"/>
      <c r="Y46" s="5"/>
      <c r="Z46" s="5"/>
      <c r="AA46" s="3"/>
    </row>
    <row r="47">
      <c r="A47" s="1" t="s">
        <v>195</v>
      </c>
      <c r="B47" s="1" t="s">
        <v>27</v>
      </c>
      <c r="C47" s="1">
        <v>40.0</v>
      </c>
      <c r="D47" s="1" t="s">
        <v>196</v>
      </c>
      <c r="E47" s="1" t="s">
        <v>29</v>
      </c>
      <c r="F47" s="1" t="s">
        <v>30</v>
      </c>
      <c r="G47" s="1">
        <v>0.0</v>
      </c>
      <c r="H47" s="1">
        <v>65.0</v>
      </c>
      <c r="I47" s="1">
        <v>0.0</v>
      </c>
      <c r="J47" s="1">
        <v>0.0</v>
      </c>
      <c r="K47" s="1" t="s">
        <v>30</v>
      </c>
      <c r="L47" s="1" t="s">
        <v>30</v>
      </c>
      <c r="M47" s="1" t="s">
        <v>187</v>
      </c>
      <c r="N47" s="1">
        <v>0.0</v>
      </c>
      <c r="O47" s="6" t="s">
        <v>30</v>
      </c>
      <c r="P47" s="6" t="s">
        <v>30</v>
      </c>
      <c r="Q47" s="6" t="s">
        <v>30</v>
      </c>
      <c r="R47" s="6" t="s">
        <v>30</v>
      </c>
      <c r="S47" s="5"/>
      <c r="T47" s="1">
        <f t="shared" si="1"/>
        <v>3</v>
      </c>
      <c r="U47" s="1">
        <f t="shared" si="2"/>
        <v>2</v>
      </c>
      <c r="V47" s="1" t="s">
        <v>45</v>
      </c>
      <c r="W47" s="1" t="s">
        <v>53</v>
      </c>
      <c r="X47" s="1" t="s">
        <v>73</v>
      </c>
      <c r="Y47" s="1" t="s">
        <v>74</v>
      </c>
      <c r="Z47" s="1" t="s">
        <v>56</v>
      </c>
      <c r="AA47" s="3"/>
    </row>
    <row r="48">
      <c r="A48" s="1" t="s">
        <v>197</v>
      </c>
      <c r="B48" s="1" t="s">
        <v>40</v>
      </c>
      <c r="C48" s="1">
        <v>30.0</v>
      </c>
      <c r="D48" s="1" t="s">
        <v>198</v>
      </c>
      <c r="E48" s="1" t="s">
        <v>95</v>
      </c>
      <c r="F48" s="1" t="s">
        <v>30</v>
      </c>
      <c r="G48" s="1">
        <v>0.0</v>
      </c>
      <c r="H48" s="1">
        <v>17.0</v>
      </c>
      <c r="I48" s="1">
        <v>0.0</v>
      </c>
      <c r="J48" s="1">
        <v>0.0</v>
      </c>
      <c r="K48" s="1" t="s">
        <v>30</v>
      </c>
      <c r="L48" s="1" t="s">
        <v>30</v>
      </c>
      <c r="M48" s="1" t="s">
        <v>187</v>
      </c>
      <c r="N48" s="1">
        <v>0.0</v>
      </c>
      <c r="O48" s="6" t="s">
        <v>30</v>
      </c>
      <c r="P48" s="6" t="s">
        <v>30</v>
      </c>
      <c r="Q48" s="6" t="s">
        <v>30</v>
      </c>
      <c r="R48" s="6" t="s">
        <v>30</v>
      </c>
      <c r="S48" s="5"/>
      <c r="T48" s="1">
        <f t="shared" si="1"/>
        <v>3</v>
      </c>
      <c r="U48" s="1">
        <f t="shared" si="2"/>
        <v>2</v>
      </c>
      <c r="V48" s="1" t="s">
        <v>45</v>
      </c>
      <c r="W48" s="1" t="s">
        <v>53</v>
      </c>
      <c r="X48" s="1" t="s">
        <v>36</v>
      </c>
      <c r="Y48" s="1" t="s">
        <v>199</v>
      </c>
      <c r="Z48" s="1" t="s">
        <v>38</v>
      </c>
      <c r="AA48" s="3"/>
    </row>
    <row r="49">
      <c r="A49" s="1" t="s">
        <v>200</v>
      </c>
      <c r="B49" s="1" t="s">
        <v>27</v>
      </c>
      <c r="C49" s="1">
        <v>20.0</v>
      </c>
      <c r="D49" s="1" t="s">
        <v>201</v>
      </c>
      <c r="E49" s="1" t="s">
        <v>29</v>
      </c>
      <c r="F49" s="1" t="s">
        <v>30</v>
      </c>
      <c r="G49" s="1">
        <v>44.0</v>
      </c>
      <c r="H49" s="1">
        <v>40.0</v>
      </c>
      <c r="I49" s="1">
        <v>1.0</v>
      </c>
      <c r="J49" s="1">
        <v>1.0</v>
      </c>
      <c r="K49" s="1" t="s">
        <v>42</v>
      </c>
      <c r="L49" s="1">
        <v>3252.0</v>
      </c>
      <c r="M49" s="1" t="s">
        <v>187</v>
      </c>
      <c r="N49" s="1">
        <v>0.0</v>
      </c>
      <c r="O49" s="6" t="s">
        <v>30</v>
      </c>
      <c r="P49" s="6" t="s">
        <v>30</v>
      </c>
      <c r="Q49" s="6" t="s">
        <v>30</v>
      </c>
      <c r="R49" s="6" t="s">
        <v>30</v>
      </c>
      <c r="S49" s="5"/>
      <c r="T49" s="1">
        <f t="shared" si="1"/>
        <v>2</v>
      </c>
      <c r="U49" s="1">
        <f t="shared" si="2"/>
        <v>2</v>
      </c>
      <c r="V49" s="5"/>
      <c r="W49" s="5"/>
      <c r="X49" s="5"/>
      <c r="Y49" s="5"/>
      <c r="Z49" s="5"/>
      <c r="AA49" s="3"/>
    </row>
    <row r="50">
      <c r="A50" s="1" t="s">
        <v>202</v>
      </c>
      <c r="B50" s="1" t="s">
        <v>40</v>
      </c>
      <c r="C50" s="1">
        <v>20.0</v>
      </c>
      <c r="D50" s="1" t="s">
        <v>203</v>
      </c>
      <c r="E50" s="1" t="s">
        <v>127</v>
      </c>
      <c r="F50" s="1" t="s">
        <v>30</v>
      </c>
      <c r="G50" s="1">
        <v>1.0</v>
      </c>
      <c r="H50" s="1">
        <v>0.0</v>
      </c>
      <c r="I50" s="1">
        <v>1.0</v>
      </c>
      <c r="J50" s="1">
        <v>1.0</v>
      </c>
      <c r="K50" s="1" t="s">
        <v>30</v>
      </c>
      <c r="L50" s="1" t="s">
        <v>30</v>
      </c>
      <c r="M50" s="1" t="s">
        <v>187</v>
      </c>
      <c r="N50" s="1">
        <v>0.0</v>
      </c>
      <c r="O50" s="6" t="s">
        <v>30</v>
      </c>
      <c r="P50" s="6" t="s">
        <v>30</v>
      </c>
      <c r="Q50" s="6" t="s">
        <v>30</v>
      </c>
      <c r="R50" s="6" t="s">
        <v>30</v>
      </c>
      <c r="S50" s="5"/>
      <c r="T50" s="1">
        <f t="shared" si="1"/>
        <v>2</v>
      </c>
      <c r="U50" s="1">
        <f t="shared" si="2"/>
        <v>2</v>
      </c>
      <c r="V50" s="1" t="s">
        <v>34</v>
      </c>
      <c r="W50" s="1" t="s">
        <v>204</v>
      </c>
      <c r="X50" s="1" t="s">
        <v>36</v>
      </c>
      <c r="Y50" s="1" t="s">
        <v>205</v>
      </c>
      <c r="Z50" s="1" t="s">
        <v>38</v>
      </c>
      <c r="AA50" s="3"/>
    </row>
    <row r="51">
      <c r="A51" s="1" t="s">
        <v>206</v>
      </c>
      <c r="B51" s="1" t="s">
        <v>27</v>
      </c>
      <c r="C51" s="1">
        <v>30.0</v>
      </c>
      <c r="D51" s="1" t="s">
        <v>207</v>
      </c>
      <c r="E51" s="1" t="s">
        <v>29</v>
      </c>
      <c r="F51" s="1" t="s">
        <v>30</v>
      </c>
      <c r="G51" s="1">
        <v>0.0</v>
      </c>
      <c r="H51" s="1">
        <v>256.0</v>
      </c>
      <c r="I51" s="1">
        <v>5.0</v>
      </c>
      <c r="J51" s="1">
        <v>5.0</v>
      </c>
      <c r="K51" s="1" t="s">
        <v>30</v>
      </c>
      <c r="L51" s="1" t="s">
        <v>30</v>
      </c>
      <c r="M51" s="1" t="s">
        <v>187</v>
      </c>
      <c r="N51" s="1">
        <v>0.0</v>
      </c>
      <c r="O51" s="6" t="s">
        <v>30</v>
      </c>
      <c r="P51" s="6" t="s">
        <v>30</v>
      </c>
      <c r="Q51" s="6" t="s">
        <v>30</v>
      </c>
      <c r="R51" s="6" t="s">
        <v>30</v>
      </c>
      <c r="S51" s="5"/>
      <c r="T51" s="1">
        <f t="shared" si="1"/>
        <v>1</v>
      </c>
      <c r="U51" s="1">
        <f t="shared" si="2"/>
        <v>2</v>
      </c>
      <c r="V51" s="1" t="s">
        <v>34</v>
      </c>
      <c r="W51" s="1" t="s">
        <v>53</v>
      </c>
      <c r="X51" s="1" t="s">
        <v>36</v>
      </c>
      <c r="Y51" s="1" t="s">
        <v>74</v>
      </c>
      <c r="Z51" s="1" t="s">
        <v>56</v>
      </c>
      <c r="AA51" s="3"/>
    </row>
  </sheetData>
  <autoFilter ref="$A$1:$Z$51"/>
  <drawing r:id="rId1"/>
</worksheet>
</file>